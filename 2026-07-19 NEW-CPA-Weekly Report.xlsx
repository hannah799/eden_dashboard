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nn\Dropbox\Eden Investment Opportunity\Financials\Daily Financial Operations\"/>
    </mc:Choice>
  </mc:AlternateContent>
  <xr:revisionPtr revIDLastSave="0" documentId="8_{2333504C-1A33-4FB9-A850-DF2BFDF292FD}" xr6:coauthVersionLast="47" xr6:coauthVersionMax="47" xr10:uidLastSave="{00000000-0000-0000-0000-000000000000}"/>
  <bookViews>
    <workbookView xWindow="38730" yWindow="1200" windowWidth="37200" windowHeight="18510" xr2:uid="{00000000-000D-0000-FFFF-FFFF00000000}"/>
  </bookViews>
  <sheets>
    <sheet name="Advanced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I20" i="1"/>
  <c r="H20" i="1"/>
  <c r="I17" i="1"/>
  <c r="I16" i="1"/>
  <c r="I15" i="1"/>
  <c r="I14" i="1"/>
  <c r="I13" i="1"/>
  <c r="H18" i="1"/>
  <c r="H17" i="1"/>
  <c r="H16" i="1"/>
  <c r="H15" i="1"/>
  <c r="H14" i="1"/>
  <c r="H13" i="1"/>
  <c r="G13" i="1" a="1"/>
  <c r="G13" i="1" s="1"/>
  <c r="I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<sst xmlns="http://schemas.openxmlformats.org/spreadsheetml/2006/main" count="479" uniqueCount="252">
  <si>
    <t>Advanced report: Sales v2</t>
  </si>
  <si>
    <t>Saved report name: NEW-CPA-Weekly Report</t>
  </si>
  <si>
    <t>Saved report ID: 4513</t>
  </si>
  <si>
    <t>Organization: Eden US</t>
  </si>
  <si>
    <t>Export date, time: 7/19/2026 10:01 PM</t>
  </si>
  <si>
    <t>Date filter: 7/12/2026 12:00 AM..7/18/2026 11:59 PM</t>
  </si>
  <si>
    <t>Metrics: Net sales, Gross sales</t>
  </si>
  <si>
    <t>Group by: Store, Timestamp</t>
  </si>
  <si>
    <t>Detailed by: Entire period</t>
  </si>
  <si>
    <t>Filter by: none</t>
  </si>
  <si>
    <t>Store</t>
  </si>
  <si>
    <t>Timestamp</t>
  </si>
  <si>
    <t>Net sales</t>
  </si>
  <si>
    <t>Gross sales</t>
  </si>
  <si>
    <t>Eden - Sarasota</t>
  </si>
  <si>
    <t>2026-07-13 15:43:38</t>
  </si>
  <si>
    <t>Eden - Orlando</t>
  </si>
  <si>
    <t>2026-07-16 14:38:00</t>
  </si>
  <si>
    <t>Eden - Delivery Hub</t>
  </si>
  <si>
    <t>2026-07-15 14:10:20</t>
  </si>
  <si>
    <t>Eden - Cocoa Beach</t>
  </si>
  <si>
    <t>2026-07-14 18:39:55</t>
  </si>
  <si>
    <t>2026-07-15 11:57:47</t>
  </si>
  <si>
    <t>2026-07-17 13:53:34</t>
  </si>
  <si>
    <t>2026-07-14 11:30:30</t>
  </si>
  <si>
    <t>2026-07-18 16:00:33</t>
  </si>
  <si>
    <t>2026-07-17 16:24:16</t>
  </si>
  <si>
    <t>2026-07-16 17:18:14</t>
  </si>
  <si>
    <t>2026-07-17 10:40:17</t>
  </si>
  <si>
    <t>2026-07-14 16:26:56</t>
  </si>
  <si>
    <t>2026-07-18 17:38:30</t>
  </si>
  <si>
    <t>2026-07-15 11:33:58</t>
  </si>
  <si>
    <t>2026-07-13 15:43:15</t>
  </si>
  <si>
    <t>2026-07-14 17:54:23</t>
  </si>
  <si>
    <t>2026-07-17 16:15:07</t>
  </si>
  <si>
    <t>2026-07-18 19:03:13</t>
  </si>
  <si>
    <t>2026-07-12 14:58:55</t>
  </si>
  <si>
    <t>2026-07-13 12:43:13</t>
  </si>
  <si>
    <t>2026-07-17 19:25:30</t>
  </si>
  <si>
    <t>2026-07-15 16:21:41</t>
  </si>
  <si>
    <t>2026-07-12 14:13:26</t>
  </si>
  <si>
    <t>2026-07-17 12:29:03</t>
  </si>
  <si>
    <t>2026-07-12 09:49:35</t>
  </si>
  <si>
    <t>2026-07-17 17:06:41</t>
  </si>
  <si>
    <t>2026-07-17 12:37:54</t>
  </si>
  <si>
    <t>2026-07-17 13:54:34</t>
  </si>
  <si>
    <t>2026-07-15 13:07:44</t>
  </si>
  <si>
    <t>2026-07-14 12:20:06</t>
  </si>
  <si>
    <t>2026-07-14 19:13:50</t>
  </si>
  <si>
    <t>2026-07-18 15:42:51</t>
  </si>
  <si>
    <t>2026-07-18 10:28:30</t>
  </si>
  <si>
    <t>2026-07-13 16:41:41</t>
  </si>
  <si>
    <t>Eden - Tampa</t>
  </si>
  <si>
    <t>2026-07-18 18:09:14</t>
  </si>
  <si>
    <t>2026-07-17 09:15:12</t>
  </si>
  <si>
    <t>2026-07-16 16:08:22</t>
  </si>
  <si>
    <t>2026-07-18 18:19:38</t>
  </si>
  <si>
    <t>2026-07-18 15:30:22</t>
  </si>
  <si>
    <t>2026-07-12 14:18:39</t>
  </si>
  <si>
    <t>2026-07-16 11:26:27</t>
  </si>
  <si>
    <t>2026-07-17 18:22:14</t>
  </si>
  <si>
    <t>2026-07-18 16:35:35</t>
  </si>
  <si>
    <t>2026-07-15 15:57:49</t>
  </si>
  <si>
    <t>2026-07-17 11:50:43</t>
  </si>
  <si>
    <t>2026-07-16 14:17:55</t>
  </si>
  <si>
    <t>2026-07-13 11:38:28</t>
  </si>
  <si>
    <t>2026-07-14 13:28:32</t>
  </si>
  <si>
    <t>2026-07-14 15:46:00</t>
  </si>
  <si>
    <t>2026-07-13 13:05:02</t>
  </si>
  <si>
    <t>2026-07-16 18:29:55</t>
  </si>
  <si>
    <t>2026-07-16 18:22:14</t>
  </si>
  <si>
    <t>2026-07-16 17:59:12</t>
  </si>
  <si>
    <t>2026-07-15 14:06:40</t>
  </si>
  <si>
    <t>2026-07-18 11:10:28</t>
  </si>
  <si>
    <t>2026-07-14 09:45:39</t>
  </si>
  <si>
    <t>2026-07-15 16:52:12</t>
  </si>
  <si>
    <t>2026-07-14 11:56:44</t>
  </si>
  <si>
    <t>2026-07-17 09:53:13</t>
  </si>
  <si>
    <t>2026-07-13 13:46:35</t>
  </si>
  <si>
    <t>2026-07-14 19:12:10</t>
  </si>
  <si>
    <t>2026-07-17 10:38:22</t>
  </si>
  <si>
    <t>2026-07-18 16:51:06</t>
  </si>
  <si>
    <t>2026-07-18 16:58:45</t>
  </si>
  <si>
    <t>2026-07-18 15:18:19</t>
  </si>
  <si>
    <t>2026-07-17 07:46:17</t>
  </si>
  <si>
    <t>2026-07-14 16:24:30</t>
  </si>
  <si>
    <t>2026-07-14 13:01:01</t>
  </si>
  <si>
    <t>2026-07-15 12:37:17</t>
  </si>
  <si>
    <t>2026-07-15 16:28:57</t>
  </si>
  <si>
    <t>2026-07-17 13:45:08</t>
  </si>
  <si>
    <t>2026-07-18 19:15:52</t>
  </si>
  <si>
    <t>2026-07-17 18:11:10</t>
  </si>
  <si>
    <t>2026-07-15 13:00:33</t>
  </si>
  <si>
    <t>2026-07-13 15:55:45</t>
  </si>
  <si>
    <t>2026-07-18 19:02:11</t>
  </si>
  <si>
    <t>2026-07-17 13:22:28</t>
  </si>
  <si>
    <t>2026-07-16 15:55:28</t>
  </si>
  <si>
    <t>2026-07-16 13:33:11</t>
  </si>
  <si>
    <t>2026-07-16 19:19:36</t>
  </si>
  <si>
    <t>2026-07-17 18:33:42</t>
  </si>
  <si>
    <t>2026-07-14 19:18:21</t>
  </si>
  <si>
    <t>2026-07-17 10:33:38</t>
  </si>
  <si>
    <t>2026-07-14 10:50:44</t>
  </si>
  <si>
    <t>2026-07-14 13:22:17</t>
  </si>
  <si>
    <t>2026-07-15 18:38:32</t>
  </si>
  <si>
    <t>2026-07-18 19:19:22</t>
  </si>
  <si>
    <t>2026-07-15 15:12:33</t>
  </si>
  <si>
    <t>2026-07-17 18:36:39</t>
  </si>
  <si>
    <t>2026-07-14 13:05:00</t>
  </si>
  <si>
    <t>2026-07-14 14:40:50</t>
  </si>
  <si>
    <t>2026-07-15 11:36:23</t>
  </si>
  <si>
    <t>2026-07-17 08:54:13</t>
  </si>
  <si>
    <t>2026-07-16 16:21:17</t>
  </si>
  <si>
    <t>2026-07-17 18:58:26</t>
  </si>
  <si>
    <t>2026-07-12 16:45:39</t>
  </si>
  <si>
    <t>2026-07-18 16:52:25</t>
  </si>
  <si>
    <t>2026-07-12 10:42:38</t>
  </si>
  <si>
    <t>2026-07-12 14:26:11</t>
  </si>
  <si>
    <t>2026-07-14 13:19:34</t>
  </si>
  <si>
    <t>2026-07-18 10:28:28</t>
  </si>
  <si>
    <t>2026-07-13 14:50:48</t>
  </si>
  <si>
    <t>2026-07-13 16:30:10</t>
  </si>
  <si>
    <t>2026-07-18 12:55:37</t>
  </si>
  <si>
    <t>2026-07-16 18:40:27</t>
  </si>
  <si>
    <t>2026-07-12 10:51:09</t>
  </si>
  <si>
    <t>2026-07-15 18:49:35</t>
  </si>
  <si>
    <t>2026-07-15 11:38:04</t>
  </si>
  <si>
    <t>2026-07-15 12:14:48</t>
  </si>
  <si>
    <t>2026-07-17 14:32:13</t>
  </si>
  <si>
    <t>2026-07-13 16:29:22</t>
  </si>
  <si>
    <t>2026-07-14 13:05:04</t>
  </si>
  <si>
    <t>2026-07-18 19:30:34</t>
  </si>
  <si>
    <t>2026-07-18 16:45:47</t>
  </si>
  <si>
    <t>2026-07-12 09:13:26</t>
  </si>
  <si>
    <t>2026-07-18 12:20:04</t>
  </si>
  <si>
    <t>2026-07-18 13:36:42</t>
  </si>
  <si>
    <t>2026-07-13 16:23:58</t>
  </si>
  <si>
    <t>2026-07-16 14:56:31</t>
  </si>
  <si>
    <t>2026-07-18 19:01:53</t>
  </si>
  <si>
    <t>2026-07-12 10:03:27</t>
  </si>
  <si>
    <t>2026-07-12 17:24:12</t>
  </si>
  <si>
    <t>2026-07-18 15:49:10</t>
  </si>
  <si>
    <t>2026-07-16 10:10:24</t>
  </si>
  <si>
    <t>2026-07-17 09:55:01</t>
  </si>
  <si>
    <t>2026-07-17 13:14:47</t>
  </si>
  <si>
    <t>2026-07-17 18:21:40</t>
  </si>
  <si>
    <t>2026-07-14 12:53:03</t>
  </si>
  <si>
    <t>2026-07-16 10:06:58</t>
  </si>
  <si>
    <t>2026-07-18 10:38:47</t>
  </si>
  <si>
    <t>2026-07-14 18:12:22</t>
  </si>
  <si>
    <t>2026-07-14 15:58:01</t>
  </si>
  <si>
    <t>2026-07-13 19:21:45</t>
  </si>
  <si>
    <t>2026-07-18 11:08:16</t>
  </si>
  <si>
    <t>2026-07-12 10:57:51</t>
  </si>
  <si>
    <t>2026-07-12 09:27:52</t>
  </si>
  <si>
    <t>2026-07-12 18:05:59</t>
  </si>
  <si>
    <t>2026-07-18 14:09:04</t>
  </si>
  <si>
    <t>2026-07-17 15:09:02</t>
  </si>
  <si>
    <t>2026-07-18 13:41:21</t>
  </si>
  <si>
    <t>2026-07-14 14:27:05</t>
  </si>
  <si>
    <t>2026-07-18 19:08:41</t>
  </si>
  <si>
    <t>2026-07-12 17:59:17</t>
  </si>
  <si>
    <t>2026-07-14 09:08:10</t>
  </si>
  <si>
    <t>2026-07-16 17:27:07</t>
  </si>
  <si>
    <t>2026-07-17 12:30:33</t>
  </si>
  <si>
    <t>2026-07-17 18:59:06</t>
  </si>
  <si>
    <t>2026-07-17 18:08:00</t>
  </si>
  <si>
    <t>2026-07-17 15:25:46</t>
  </si>
  <si>
    <t>2026-07-17 16:55:28</t>
  </si>
  <si>
    <t>2026-07-12 13:31:14</t>
  </si>
  <si>
    <t>2026-07-14 12:49:33</t>
  </si>
  <si>
    <t>2026-07-18 15:12:12</t>
  </si>
  <si>
    <t>2026-07-12 14:49:13</t>
  </si>
  <si>
    <t>2026-07-13 15:25:48</t>
  </si>
  <si>
    <t>2026-07-13 18:32:51</t>
  </si>
  <si>
    <t>2026-07-16 17:06:04</t>
  </si>
  <si>
    <t>2026-07-14 16:48:21</t>
  </si>
  <si>
    <t>2026-07-14 17:02:32</t>
  </si>
  <si>
    <t>2026-07-14 15:02:11</t>
  </si>
  <si>
    <t>2026-07-14 18:02:31</t>
  </si>
  <si>
    <t>2026-07-14 16:31:46</t>
  </si>
  <si>
    <t>2026-07-14 13:40:52</t>
  </si>
  <si>
    <t>2026-07-13 12:26:39</t>
  </si>
  <si>
    <t>2026-07-14 11:38:53</t>
  </si>
  <si>
    <t>2026-07-15 10:28:26</t>
  </si>
  <si>
    <t>2026-07-17 10:50:37</t>
  </si>
  <si>
    <t>2026-07-14 11:30:05</t>
  </si>
  <si>
    <t>2026-07-14 12:47:14</t>
  </si>
  <si>
    <t>2026-07-16 10:19:42</t>
  </si>
  <si>
    <t>2026-07-18 09:02:26</t>
  </si>
  <si>
    <t>2026-07-16 15:54:41</t>
  </si>
  <si>
    <t>2026-07-17 10:45:13</t>
  </si>
  <si>
    <t>2026-07-14 09:25:37</t>
  </si>
  <si>
    <t>2026-07-16 16:54:27</t>
  </si>
  <si>
    <t>2026-07-13 13:02:38</t>
  </si>
  <si>
    <t>2026-07-17 16:51:39</t>
  </si>
  <si>
    <t>2026-07-18 18:35:30</t>
  </si>
  <si>
    <t>2026-07-16 16:53:28</t>
  </si>
  <si>
    <t>2026-07-16 17:56:29</t>
  </si>
  <si>
    <t>2026-07-13 16:43:56</t>
  </si>
  <si>
    <t>2026-07-17 10:53:34</t>
  </si>
  <si>
    <t>2026-07-17 18:14:33</t>
  </si>
  <si>
    <t>2026-07-14 09:29:47</t>
  </si>
  <si>
    <t>2026-07-17 14:00:18</t>
  </si>
  <si>
    <t>2026-07-18 17:40:44</t>
  </si>
  <si>
    <t>2026-07-17 16:38:05</t>
  </si>
  <si>
    <t>2026-07-18 10:07:44</t>
  </si>
  <si>
    <t>2026-07-18 10:42:13</t>
  </si>
  <si>
    <t>2026-07-16 13:50:26</t>
  </si>
  <si>
    <t>2026-07-18 19:01:13</t>
  </si>
  <si>
    <t>2026-07-17 14:03:15</t>
  </si>
  <si>
    <t>2026-07-13 14:23:49</t>
  </si>
  <si>
    <t>2026-07-13 18:14:07</t>
  </si>
  <si>
    <t>2026-07-17 14:54:42</t>
  </si>
  <si>
    <t>2026-07-18 09:06:53</t>
  </si>
  <si>
    <t>2026-07-15 15:24:34</t>
  </si>
  <si>
    <t>2026-07-13 10:38:09</t>
  </si>
  <si>
    <t>2026-07-14 14:11:56</t>
  </si>
  <si>
    <t>2026-07-18 09:28:53</t>
  </si>
  <si>
    <t>2026-07-16 19:21:53</t>
  </si>
  <si>
    <t>2026-07-16 13:06:59</t>
  </si>
  <si>
    <t>2026-07-18 13:08:57</t>
  </si>
  <si>
    <t>2026-07-18 18:46:43</t>
  </si>
  <si>
    <t>2026-07-13 19:25:03</t>
  </si>
  <si>
    <t>2026-07-12 10:43:19</t>
  </si>
  <si>
    <t>2026-07-14 14:30:32</t>
  </si>
  <si>
    <t>2026-07-16 11:44:42</t>
  </si>
  <si>
    <t>2026-07-18 17:19:35</t>
  </si>
  <si>
    <t>2026-07-12 09:06:35</t>
  </si>
  <si>
    <t>2026-07-13 18:58:23</t>
  </si>
  <si>
    <t>2026-07-14 11:20:37</t>
  </si>
  <si>
    <t>2026-07-15 18:37:15</t>
  </si>
  <si>
    <t>2026-07-13 17:25:59</t>
  </si>
  <si>
    <t>2026-07-15 17:31:20</t>
  </si>
  <si>
    <t>2026-07-15 18:41:37</t>
  </si>
  <si>
    <t>2026-07-16 14:55:43</t>
  </si>
  <si>
    <t>2026-07-16 18:08:32</t>
  </si>
  <si>
    <t>2026-07-13 15:11:44</t>
  </si>
  <si>
    <t>2026-07-14 19:26:24</t>
  </si>
  <si>
    <t>2026-07-18 10:31:29</t>
  </si>
  <si>
    <t>2026-07-13 16:41:23</t>
  </si>
  <si>
    <t>2026-07-17 11:20:26</t>
  </si>
  <si>
    <t>2026-07-17 18:38:57</t>
  </si>
  <si>
    <t>2026-07-15 19:10:46</t>
  </si>
  <si>
    <t>2026-07-16 14:01:27</t>
  </si>
  <si>
    <t>2026-07-15 18:44:09</t>
  </si>
  <si>
    <t>2026-07-18 17:27:01</t>
  </si>
  <si>
    <t>2026-07-13 15:57:37</t>
  </si>
  <si>
    <t>2026-07-13 15:56:30</t>
  </si>
  <si>
    <t>Net Sales</t>
  </si>
  <si>
    <t>Day average</t>
  </si>
  <si>
    <t>Month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</si>
</sst>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4" x14ac:knownFonts="1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topLeftCell="A9" workbookViewId="0">
      <selection activeCell="I18" sqref="I18"/>
    </sheetView>
  </sheetViews>
  <sheetFormatPr defaultRowHeight="15" x14ac:dyDescent="0.25"/>
  <cols>
    <col min="1" max="2" width="25" customWidth="1"/>
    <col min="3" max="3" width="14" customWidth="1"/>
    <col min="4" max="4" width="9" customWidth="1"/>
    <col min="5" max="5" width="14" customWidth="1"/>
    <col min="6" max="6" width="9" customWidth="1"/>
    <col min="7" max="7" width="18.7109375" bestFit="1" customWidth="1"/>
  </cols>
  <sheetData>
    <row r="1" spans="1:9" ht="18.75" x14ac:dyDescent="0.3">
      <c r="A1" s="1" t="s">
        <v>0</v>
      </c>
    </row>
    <row r="2" spans="1:9" x14ac:dyDescent="0.25">
      <c r="A2" s="2" t="s">
        <v>1</v>
      </c>
    </row>
    <row r="3" spans="1:9" x14ac:dyDescent="0.25">
      <c r="A3" s="2" t="s">
        <v>2</v>
      </c>
    </row>
    <row r="4" spans="1:9" x14ac:dyDescent="0.25">
      <c r="A4" s="2" t="s">
        <v>3</v>
      </c>
    </row>
    <row r="5" spans="1:9" x14ac:dyDescent="0.25">
      <c r="A5" s="2" t="s">
        <v>4</v>
      </c>
    </row>
    <row r="6" spans="1:9" x14ac:dyDescent="0.25">
      <c r="A6" s="2" t="s">
        <v>5</v>
      </c>
    </row>
    <row r="7" spans="1:9" x14ac:dyDescent="0.25">
      <c r="A7" s="2" t="s">
        <v>6</v>
      </c>
    </row>
    <row r="8" spans="1:9" x14ac:dyDescent="0.25">
      <c r="A8" s="2" t="s">
        <v>7</v>
      </c>
    </row>
    <row r="9" spans="1:9" x14ac:dyDescent="0.25">
      <c r="A9" s="2" t="s">
        <v>8</v>
      </c>
    </row>
    <row r="10" spans="1:9" x14ac:dyDescent="0.25">
      <c r="A10" s="2" t="s">
        <v>9</v>
      </c>
    </row>
    <row r="11" spans="1:9" x14ac:dyDescent="0.25">
      <c r="A11" s="3" t="s">
        <v>10</v>
      </c>
      <c r="B11" s="3" t="s">
        <v>11</v>
      </c>
      <c r="C11" s="3" t="s">
        <v>12</v>
      </c>
      <c r="D11" s="3" t="s">
        <v>13</v>
      </c>
    </row>
    <row r="12" spans="1:9" x14ac:dyDescent="0.25">
      <c r="A12" s="4"/>
      <c r="B12" s="4"/>
      <c r="C12" s="5">
        <v>20510.95</v>
      </c>
      <c r="D12" s="5">
        <v>30494.5</v>
      </c>
      <c r="H12" t="s">
        <v>249</v>
      </c>
    </row>
    <row r="13" spans="1:9" x14ac:dyDescent="0.25">
      <c r="A13" t="s">
        <v>14</v>
      </c>
      <c r="B13" t="s">
        <v>15</v>
      </c>
      <c r="C13" s="6">
        <v>764.4</v>
      </c>
      <c r="D13" s="6">
        <v>1104</v>
      </c>
      <c r="G13" t="str" cm="1">
        <f t="array" ref="G13:G17">_xlfn._xlws.SORT(_xlfn.UNIQUE(A13:A243))</f>
        <v>Eden - Cocoa Beach</v>
      </c>
      <c r="H13">
        <f>SUMIFS($C$13:$C$243,$A$13:$A$243,G13)</f>
        <v>7727.36</v>
      </c>
      <c r="I13">
        <f>SUMIFS($D$13:$D$243,$A$13:$A$243,G13)</f>
        <v>11277.5</v>
      </c>
    </row>
    <row r="14" spans="1:9" x14ac:dyDescent="0.25">
      <c r="A14" t="s">
        <v>16</v>
      </c>
      <c r="B14" t="s">
        <v>17</v>
      </c>
      <c r="C14" s="6">
        <v>445.15</v>
      </c>
      <c r="D14" s="6">
        <v>664.5</v>
      </c>
      <c r="G14" t="str">
        <v>Eden - Delivery Hub</v>
      </c>
      <c r="H14">
        <f t="shared" ref="H14:I17" si="0">SUMIFS($C$13:$C$243,$A$13:$A$243,G14)</f>
        <v>1290.5</v>
      </c>
      <c r="I14">
        <f t="shared" ref="I14:I17" si="1">SUMIFS($D$13:$D$243,$A$13:$A$243,G14)</f>
        <v>1880</v>
      </c>
    </row>
    <row r="15" spans="1:9" x14ac:dyDescent="0.25">
      <c r="A15" t="s">
        <v>18</v>
      </c>
      <c r="B15" t="s">
        <v>19</v>
      </c>
      <c r="C15" s="6">
        <v>410</v>
      </c>
      <c r="D15" s="6">
        <v>630</v>
      </c>
      <c r="G15" t="str">
        <v>Eden - Orlando</v>
      </c>
      <c r="H15">
        <f t="shared" si="0"/>
        <v>5216.1499999999996</v>
      </c>
      <c r="I15">
        <f t="shared" si="1"/>
        <v>7767.5</v>
      </c>
    </row>
    <row r="16" spans="1:9" x14ac:dyDescent="0.25">
      <c r="A16" t="s">
        <v>20</v>
      </c>
      <c r="B16" t="s">
        <v>21</v>
      </c>
      <c r="C16" s="6">
        <v>402</v>
      </c>
      <c r="D16" s="6">
        <v>590</v>
      </c>
      <c r="G16" t="str">
        <v>Eden - Sarasota</v>
      </c>
      <c r="H16">
        <f t="shared" si="0"/>
        <v>4416.9500000000007</v>
      </c>
      <c r="I16">
        <f t="shared" si="1"/>
        <v>6886.5</v>
      </c>
    </row>
    <row r="17" spans="1:9" x14ac:dyDescent="0.25">
      <c r="A17" t="s">
        <v>18</v>
      </c>
      <c r="B17" t="s">
        <v>22</v>
      </c>
      <c r="C17" s="6">
        <v>335</v>
      </c>
      <c r="D17" s="6">
        <v>450</v>
      </c>
      <c r="G17" t="str">
        <v>Eden - Tampa</v>
      </c>
      <c r="H17">
        <f t="shared" si="0"/>
        <v>1859.9900000000002</v>
      </c>
      <c r="I17">
        <f t="shared" si="1"/>
        <v>2683</v>
      </c>
    </row>
    <row r="18" spans="1:9" x14ac:dyDescent="0.25">
      <c r="A18" t="s">
        <v>16</v>
      </c>
      <c r="B18" t="s">
        <v>23</v>
      </c>
      <c r="C18" s="6">
        <v>325.5</v>
      </c>
      <c r="D18" s="6">
        <v>475</v>
      </c>
      <c r="H18">
        <f>SUM(H13:H17)</f>
        <v>20510.95</v>
      </c>
      <c r="I18">
        <f>SUM(I13:I17)</f>
        <v>30494.5</v>
      </c>
    </row>
    <row r="19" spans="1:9" x14ac:dyDescent="0.25">
      <c r="A19" t="s">
        <v>16</v>
      </c>
      <c r="B19" t="s">
        <v>24</v>
      </c>
      <c r="C19" s="6">
        <v>289</v>
      </c>
      <c r="D19" s="6">
        <v>455</v>
      </c>
    </row>
    <row r="20" spans="1:9" x14ac:dyDescent="0.25">
      <c r="A20" t="s">
        <v>20</v>
      </c>
      <c r="B20" t="s">
        <v>25</v>
      </c>
      <c r="C20" s="6">
        <v>288.89999999999998</v>
      </c>
      <c r="D20" s="6">
        <v>427</v>
      </c>
      <c r="G20" t="s">
        <v>250</v>
      </c>
      <c r="H20">
        <f>H18/19</f>
        <v>1079.5236842105264</v>
      </c>
      <c r="I20">
        <f>I18/19</f>
        <v>1604.9736842105262</v>
      </c>
    </row>
    <row r="21" spans="1:9" x14ac:dyDescent="0.25">
      <c r="A21" t="s">
        <v>20</v>
      </c>
      <c r="B21" t="s">
        <v>26</v>
      </c>
      <c r="C21" s="6">
        <v>280</v>
      </c>
      <c r="D21" s="6">
        <v>400</v>
      </c>
      <c r="G21" t="s">
        <v>251</v>
      </c>
      <c r="H21">
        <f>H20*31</f>
        <v>33465.234210526316</v>
      </c>
      <c r="I21">
        <f>I20*31</f>
        <v>49754.184210526313</v>
      </c>
    </row>
    <row r="22" spans="1:9" x14ac:dyDescent="0.25">
      <c r="A22" t="s">
        <v>14</v>
      </c>
      <c r="B22" t="s">
        <v>27</v>
      </c>
      <c r="C22" s="6">
        <v>279</v>
      </c>
      <c r="D22" s="6">
        <v>420</v>
      </c>
    </row>
    <row r="23" spans="1:9" x14ac:dyDescent="0.25">
      <c r="A23" t="s">
        <v>16</v>
      </c>
      <c r="B23" t="s">
        <v>28</v>
      </c>
      <c r="C23" s="6">
        <v>252</v>
      </c>
      <c r="D23" s="6">
        <v>367.5</v>
      </c>
    </row>
    <row r="24" spans="1:9" x14ac:dyDescent="0.25">
      <c r="A24" t="s">
        <v>20</v>
      </c>
      <c r="B24" t="s">
        <v>29</v>
      </c>
      <c r="C24" s="6">
        <v>248.5</v>
      </c>
      <c r="D24" s="6">
        <v>355</v>
      </c>
    </row>
    <row r="25" spans="1:9" x14ac:dyDescent="0.25">
      <c r="A25" t="s">
        <v>20</v>
      </c>
      <c r="B25" t="s">
        <v>30</v>
      </c>
      <c r="C25" s="6">
        <v>220.5</v>
      </c>
      <c r="D25" s="6">
        <v>315</v>
      </c>
    </row>
    <row r="26" spans="1:9" x14ac:dyDescent="0.25">
      <c r="A26" t="s">
        <v>20</v>
      </c>
      <c r="B26" t="s">
        <v>31</v>
      </c>
      <c r="C26" s="6">
        <v>213.5</v>
      </c>
      <c r="D26" s="6">
        <v>305</v>
      </c>
    </row>
    <row r="27" spans="1:9" x14ac:dyDescent="0.25">
      <c r="A27" t="s">
        <v>20</v>
      </c>
      <c r="B27" t="s">
        <v>32</v>
      </c>
      <c r="C27" s="6">
        <v>212</v>
      </c>
      <c r="D27" s="6">
        <v>290</v>
      </c>
    </row>
    <row r="28" spans="1:9" x14ac:dyDescent="0.25">
      <c r="A28" t="s">
        <v>20</v>
      </c>
      <c r="B28" t="s">
        <v>33</v>
      </c>
      <c r="C28" s="6">
        <v>210</v>
      </c>
      <c r="D28" s="6">
        <v>320</v>
      </c>
    </row>
    <row r="29" spans="1:9" x14ac:dyDescent="0.25">
      <c r="A29" t="s">
        <v>16</v>
      </c>
      <c r="B29" t="s">
        <v>34</v>
      </c>
      <c r="C29" s="6">
        <v>210</v>
      </c>
      <c r="D29" s="6">
        <v>300</v>
      </c>
    </row>
    <row r="30" spans="1:9" x14ac:dyDescent="0.25">
      <c r="A30" t="s">
        <v>16</v>
      </c>
      <c r="B30" t="s">
        <v>35</v>
      </c>
      <c r="C30" s="6">
        <v>206.5</v>
      </c>
      <c r="D30" s="6">
        <v>295</v>
      </c>
    </row>
    <row r="31" spans="1:9" x14ac:dyDescent="0.25">
      <c r="A31" t="s">
        <v>16</v>
      </c>
      <c r="B31" t="s">
        <v>36</v>
      </c>
      <c r="C31" s="6">
        <v>205.05</v>
      </c>
      <c r="D31" s="6">
        <v>290</v>
      </c>
    </row>
    <row r="32" spans="1:9" x14ac:dyDescent="0.25">
      <c r="A32" t="s">
        <v>18</v>
      </c>
      <c r="B32" t="s">
        <v>37</v>
      </c>
      <c r="C32" s="6">
        <v>200</v>
      </c>
      <c r="D32" s="6">
        <v>280</v>
      </c>
    </row>
    <row r="33" spans="1:4" x14ac:dyDescent="0.25">
      <c r="A33" t="s">
        <v>20</v>
      </c>
      <c r="B33" t="s">
        <v>38</v>
      </c>
      <c r="C33" s="6">
        <v>182</v>
      </c>
      <c r="D33" s="6">
        <v>260</v>
      </c>
    </row>
    <row r="34" spans="1:4" x14ac:dyDescent="0.25">
      <c r="A34" t="s">
        <v>14</v>
      </c>
      <c r="B34" t="s">
        <v>39</v>
      </c>
      <c r="C34" s="6">
        <v>171</v>
      </c>
      <c r="D34" s="6">
        <v>220</v>
      </c>
    </row>
    <row r="35" spans="1:4" x14ac:dyDescent="0.25">
      <c r="A35" t="s">
        <v>20</v>
      </c>
      <c r="B35" t="s">
        <v>40</v>
      </c>
      <c r="C35" s="6">
        <v>168</v>
      </c>
      <c r="D35" s="6">
        <v>240</v>
      </c>
    </row>
    <row r="36" spans="1:4" x14ac:dyDescent="0.25">
      <c r="A36" t="s">
        <v>18</v>
      </c>
      <c r="B36" t="s">
        <v>41</v>
      </c>
      <c r="C36" s="6">
        <v>168</v>
      </c>
      <c r="D36" s="6">
        <v>240</v>
      </c>
    </row>
    <row r="37" spans="1:4" x14ac:dyDescent="0.25">
      <c r="A37" t="s">
        <v>16</v>
      </c>
      <c r="B37" t="s">
        <v>42</v>
      </c>
      <c r="C37" s="6">
        <v>168</v>
      </c>
      <c r="D37" s="6">
        <v>240</v>
      </c>
    </row>
    <row r="38" spans="1:4" x14ac:dyDescent="0.25">
      <c r="A38" t="s">
        <v>14</v>
      </c>
      <c r="B38" t="s">
        <v>43</v>
      </c>
      <c r="C38" s="6">
        <v>165</v>
      </c>
      <c r="D38" s="6">
        <v>285</v>
      </c>
    </row>
    <row r="39" spans="1:4" x14ac:dyDescent="0.25">
      <c r="A39" t="s">
        <v>20</v>
      </c>
      <c r="B39" t="s">
        <v>44</v>
      </c>
      <c r="C39" s="6">
        <v>163</v>
      </c>
      <c r="D39" s="6">
        <v>305</v>
      </c>
    </row>
    <row r="40" spans="1:4" x14ac:dyDescent="0.25">
      <c r="A40" t="s">
        <v>16</v>
      </c>
      <c r="B40" t="s">
        <v>45</v>
      </c>
      <c r="C40" s="6">
        <v>162.5</v>
      </c>
      <c r="D40" s="6">
        <v>235</v>
      </c>
    </row>
    <row r="41" spans="1:4" x14ac:dyDescent="0.25">
      <c r="A41" t="s">
        <v>14</v>
      </c>
      <c r="B41" t="s">
        <v>46</v>
      </c>
      <c r="C41" s="6">
        <v>159.75</v>
      </c>
      <c r="D41" s="6">
        <v>217</v>
      </c>
    </row>
    <row r="42" spans="1:4" x14ac:dyDescent="0.25">
      <c r="A42" t="s">
        <v>16</v>
      </c>
      <c r="B42" t="s">
        <v>47</v>
      </c>
      <c r="C42" s="6">
        <v>157.5</v>
      </c>
      <c r="D42" s="6">
        <v>225</v>
      </c>
    </row>
    <row r="43" spans="1:4" x14ac:dyDescent="0.25">
      <c r="A43" t="s">
        <v>16</v>
      </c>
      <c r="B43" t="s">
        <v>48</v>
      </c>
      <c r="C43" s="6">
        <v>155</v>
      </c>
      <c r="D43" s="6">
        <v>180</v>
      </c>
    </row>
    <row r="44" spans="1:4" x14ac:dyDescent="0.25">
      <c r="A44" t="s">
        <v>16</v>
      </c>
      <c r="B44" t="s">
        <v>49</v>
      </c>
      <c r="C44" s="6">
        <v>154.5</v>
      </c>
      <c r="D44" s="6">
        <v>230</v>
      </c>
    </row>
    <row r="45" spans="1:4" x14ac:dyDescent="0.25">
      <c r="A45" t="s">
        <v>14</v>
      </c>
      <c r="B45" t="s">
        <v>50</v>
      </c>
      <c r="C45" s="6">
        <v>147.5</v>
      </c>
      <c r="D45" s="6">
        <v>220</v>
      </c>
    </row>
    <row r="46" spans="1:4" x14ac:dyDescent="0.25">
      <c r="A46" t="s">
        <v>20</v>
      </c>
      <c r="B46" t="s">
        <v>51</v>
      </c>
      <c r="C46" s="6">
        <v>147</v>
      </c>
      <c r="D46" s="6">
        <v>210</v>
      </c>
    </row>
    <row r="47" spans="1:4" x14ac:dyDescent="0.25">
      <c r="A47" t="s">
        <v>52</v>
      </c>
      <c r="B47" t="s">
        <v>53</v>
      </c>
      <c r="C47" s="6">
        <v>147</v>
      </c>
      <c r="D47" s="6">
        <v>210</v>
      </c>
    </row>
    <row r="48" spans="1:4" x14ac:dyDescent="0.25">
      <c r="A48" t="s">
        <v>20</v>
      </c>
      <c r="B48" t="s">
        <v>54</v>
      </c>
      <c r="C48" s="6">
        <v>145</v>
      </c>
      <c r="D48" s="6">
        <v>225</v>
      </c>
    </row>
    <row r="49" spans="1:4" x14ac:dyDescent="0.25">
      <c r="A49" t="s">
        <v>16</v>
      </c>
      <c r="B49" t="s">
        <v>55</v>
      </c>
      <c r="C49" s="6">
        <v>143.5</v>
      </c>
      <c r="D49" s="6">
        <v>205</v>
      </c>
    </row>
    <row r="50" spans="1:4" x14ac:dyDescent="0.25">
      <c r="A50" t="s">
        <v>52</v>
      </c>
      <c r="B50" t="s">
        <v>56</v>
      </c>
      <c r="C50" s="6">
        <v>140.1</v>
      </c>
      <c r="D50" s="6">
        <v>180</v>
      </c>
    </row>
    <row r="51" spans="1:4" x14ac:dyDescent="0.25">
      <c r="A51" t="s">
        <v>52</v>
      </c>
      <c r="B51" t="s">
        <v>57</v>
      </c>
      <c r="C51" s="6">
        <v>136.5</v>
      </c>
      <c r="D51" s="6">
        <v>195</v>
      </c>
    </row>
    <row r="52" spans="1:4" x14ac:dyDescent="0.25">
      <c r="A52" t="s">
        <v>20</v>
      </c>
      <c r="B52" t="s">
        <v>58</v>
      </c>
      <c r="C52" s="6">
        <v>131</v>
      </c>
      <c r="D52" s="6">
        <v>172.5</v>
      </c>
    </row>
    <row r="53" spans="1:4" x14ac:dyDescent="0.25">
      <c r="A53" t="s">
        <v>20</v>
      </c>
      <c r="B53" t="s">
        <v>59</v>
      </c>
      <c r="C53" s="6">
        <v>130</v>
      </c>
      <c r="D53" s="6">
        <v>195</v>
      </c>
    </row>
    <row r="54" spans="1:4" x14ac:dyDescent="0.25">
      <c r="A54" t="s">
        <v>20</v>
      </c>
      <c r="B54" t="s">
        <v>60</v>
      </c>
      <c r="C54" s="6">
        <v>130</v>
      </c>
      <c r="D54" s="6">
        <v>140</v>
      </c>
    </row>
    <row r="55" spans="1:4" x14ac:dyDescent="0.25">
      <c r="A55" t="s">
        <v>20</v>
      </c>
      <c r="B55" t="s">
        <v>61</v>
      </c>
      <c r="C55" s="6">
        <v>126</v>
      </c>
      <c r="D55" s="6">
        <v>180</v>
      </c>
    </row>
    <row r="56" spans="1:4" x14ac:dyDescent="0.25">
      <c r="A56" t="s">
        <v>14</v>
      </c>
      <c r="B56" t="s">
        <v>62</v>
      </c>
      <c r="C56" s="6">
        <v>126</v>
      </c>
      <c r="D56" s="6">
        <v>180</v>
      </c>
    </row>
    <row r="57" spans="1:4" x14ac:dyDescent="0.25">
      <c r="A57" t="s">
        <v>14</v>
      </c>
      <c r="B57" t="s">
        <v>63</v>
      </c>
      <c r="C57" s="6">
        <v>126</v>
      </c>
      <c r="D57" s="6">
        <v>180</v>
      </c>
    </row>
    <row r="58" spans="1:4" x14ac:dyDescent="0.25">
      <c r="A58" t="s">
        <v>14</v>
      </c>
      <c r="B58" t="s">
        <v>64</v>
      </c>
      <c r="C58" s="6">
        <v>125</v>
      </c>
      <c r="D58" s="6">
        <v>150</v>
      </c>
    </row>
    <row r="59" spans="1:4" x14ac:dyDescent="0.25">
      <c r="A59" t="s">
        <v>16</v>
      </c>
      <c r="B59" t="s">
        <v>65</v>
      </c>
      <c r="C59" s="6">
        <v>123.85</v>
      </c>
      <c r="D59" s="6">
        <v>210</v>
      </c>
    </row>
    <row r="60" spans="1:4" x14ac:dyDescent="0.25">
      <c r="A60" t="s">
        <v>20</v>
      </c>
      <c r="B60" t="s">
        <v>66</v>
      </c>
      <c r="C60" s="6">
        <v>122.5</v>
      </c>
      <c r="D60" s="6">
        <v>175</v>
      </c>
    </row>
    <row r="61" spans="1:4" x14ac:dyDescent="0.25">
      <c r="A61" t="s">
        <v>14</v>
      </c>
      <c r="B61" t="s">
        <v>67</v>
      </c>
      <c r="C61" s="6">
        <v>119</v>
      </c>
      <c r="D61" s="6">
        <v>140</v>
      </c>
    </row>
    <row r="62" spans="1:4" x14ac:dyDescent="0.25">
      <c r="A62" t="s">
        <v>20</v>
      </c>
      <c r="B62" t="s">
        <v>68</v>
      </c>
      <c r="C62" s="6">
        <v>118.51</v>
      </c>
      <c r="D62" s="6">
        <v>222</v>
      </c>
    </row>
    <row r="63" spans="1:4" x14ac:dyDescent="0.25">
      <c r="A63" t="s">
        <v>20</v>
      </c>
      <c r="B63" t="s">
        <v>69</v>
      </c>
      <c r="C63" s="6">
        <v>115.5</v>
      </c>
      <c r="D63" s="6">
        <v>165</v>
      </c>
    </row>
    <row r="64" spans="1:4" x14ac:dyDescent="0.25">
      <c r="A64" t="s">
        <v>20</v>
      </c>
      <c r="B64" t="s">
        <v>70</v>
      </c>
      <c r="C64" s="6">
        <v>115.3</v>
      </c>
      <c r="D64" s="6">
        <v>174</v>
      </c>
    </row>
    <row r="65" spans="1:4" x14ac:dyDescent="0.25">
      <c r="A65" t="s">
        <v>20</v>
      </c>
      <c r="B65" t="s">
        <v>71</v>
      </c>
      <c r="C65" s="6">
        <v>115</v>
      </c>
      <c r="D65" s="6">
        <v>210</v>
      </c>
    </row>
    <row r="66" spans="1:4" x14ac:dyDescent="0.25">
      <c r="A66" t="s">
        <v>16</v>
      </c>
      <c r="B66" t="s">
        <v>72</v>
      </c>
      <c r="C66" s="6">
        <v>113.5</v>
      </c>
      <c r="D66" s="6">
        <v>165</v>
      </c>
    </row>
    <row r="67" spans="1:4" x14ac:dyDescent="0.25">
      <c r="A67" t="s">
        <v>14</v>
      </c>
      <c r="B67" t="s">
        <v>73</v>
      </c>
      <c r="C67" s="6">
        <v>111</v>
      </c>
      <c r="D67" s="6">
        <v>175</v>
      </c>
    </row>
    <row r="68" spans="1:4" x14ac:dyDescent="0.25">
      <c r="A68" t="s">
        <v>20</v>
      </c>
      <c r="B68" t="s">
        <v>74</v>
      </c>
      <c r="C68" s="6">
        <v>110</v>
      </c>
      <c r="D68" s="6">
        <v>190</v>
      </c>
    </row>
    <row r="69" spans="1:4" x14ac:dyDescent="0.25">
      <c r="A69" t="s">
        <v>14</v>
      </c>
      <c r="B69" t="s">
        <v>75</v>
      </c>
      <c r="C69" s="6">
        <v>110</v>
      </c>
      <c r="D69" s="6">
        <v>165</v>
      </c>
    </row>
    <row r="70" spans="1:4" x14ac:dyDescent="0.25">
      <c r="A70" t="s">
        <v>20</v>
      </c>
      <c r="B70" t="s">
        <v>76</v>
      </c>
      <c r="C70" s="6">
        <v>107.7</v>
      </c>
      <c r="D70" s="6">
        <v>187</v>
      </c>
    </row>
    <row r="71" spans="1:4" x14ac:dyDescent="0.25">
      <c r="A71" t="s">
        <v>14</v>
      </c>
      <c r="B71" t="s">
        <v>77</v>
      </c>
      <c r="C71" s="6">
        <v>106.25</v>
      </c>
      <c r="D71" s="6">
        <v>270</v>
      </c>
    </row>
    <row r="72" spans="1:4" x14ac:dyDescent="0.25">
      <c r="A72" t="s">
        <v>14</v>
      </c>
      <c r="B72" t="s">
        <v>78</v>
      </c>
      <c r="C72" s="6">
        <v>104.9</v>
      </c>
      <c r="D72" s="6">
        <v>157</v>
      </c>
    </row>
    <row r="73" spans="1:4" x14ac:dyDescent="0.25">
      <c r="A73" t="s">
        <v>20</v>
      </c>
      <c r="B73" t="s">
        <v>79</v>
      </c>
      <c r="C73" s="6">
        <v>103.6</v>
      </c>
      <c r="D73" s="6">
        <v>150</v>
      </c>
    </row>
    <row r="74" spans="1:4" x14ac:dyDescent="0.25">
      <c r="A74" t="s">
        <v>20</v>
      </c>
      <c r="B74" t="s">
        <v>80</v>
      </c>
      <c r="C74" s="6">
        <v>103.25</v>
      </c>
      <c r="D74" s="6">
        <v>135</v>
      </c>
    </row>
    <row r="75" spans="1:4" x14ac:dyDescent="0.25">
      <c r="A75" t="s">
        <v>20</v>
      </c>
      <c r="B75" t="s">
        <v>81</v>
      </c>
      <c r="C75" s="6">
        <v>102</v>
      </c>
      <c r="D75" s="6">
        <v>130</v>
      </c>
    </row>
    <row r="76" spans="1:4" x14ac:dyDescent="0.25">
      <c r="A76" t="s">
        <v>20</v>
      </c>
      <c r="B76" t="s">
        <v>82</v>
      </c>
      <c r="C76" s="6">
        <v>101</v>
      </c>
      <c r="D76" s="6">
        <v>135</v>
      </c>
    </row>
    <row r="77" spans="1:4" x14ac:dyDescent="0.25">
      <c r="A77" t="s">
        <v>20</v>
      </c>
      <c r="B77" t="s">
        <v>83</v>
      </c>
      <c r="C77" s="6">
        <v>100</v>
      </c>
      <c r="D77" s="6">
        <v>205</v>
      </c>
    </row>
    <row r="78" spans="1:4" x14ac:dyDescent="0.25">
      <c r="A78" t="s">
        <v>18</v>
      </c>
      <c r="B78" t="s">
        <v>84</v>
      </c>
      <c r="C78" s="6">
        <v>100</v>
      </c>
      <c r="D78" s="6">
        <v>180</v>
      </c>
    </row>
    <row r="79" spans="1:4" x14ac:dyDescent="0.25">
      <c r="A79" t="s">
        <v>16</v>
      </c>
      <c r="B79" t="s">
        <v>85</v>
      </c>
      <c r="C79" s="6">
        <v>100</v>
      </c>
      <c r="D79" s="6">
        <v>185</v>
      </c>
    </row>
    <row r="80" spans="1:4" x14ac:dyDescent="0.25">
      <c r="A80" t="s">
        <v>14</v>
      </c>
      <c r="B80" t="s">
        <v>86</v>
      </c>
      <c r="C80" s="6">
        <v>100</v>
      </c>
      <c r="D80" s="6">
        <v>215</v>
      </c>
    </row>
    <row r="81" spans="1:4" x14ac:dyDescent="0.25">
      <c r="A81" t="s">
        <v>14</v>
      </c>
      <c r="B81" t="s">
        <v>87</v>
      </c>
      <c r="C81" s="6">
        <v>100</v>
      </c>
      <c r="D81" s="6">
        <v>175</v>
      </c>
    </row>
    <row r="82" spans="1:4" x14ac:dyDescent="0.25">
      <c r="A82" t="s">
        <v>52</v>
      </c>
      <c r="B82" t="s">
        <v>88</v>
      </c>
      <c r="C82" s="6">
        <v>100</v>
      </c>
      <c r="D82" s="6">
        <v>195</v>
      </c>
    </row>
    <row r="83" spans="1:4" x14ac:dyDescent="0.25">
      <c r="A83" t="s">
        <v>52</v>
      </c>
      <c r="B83" t="s">
        <v>89</v>
      </c>
      <c r="C83" s="6">
        <v>100</v>
      </c>
      <c r="D83" s="6">
        <v>135</v>
      </c>
    </row>
    <row r="84" spans="1:4" x14ac:dyDescent="0.25">
      <c r="A84" t="s">
        <v>52</v>
      </c>
      <c r="B84" t="s">
        <v>90</v>
      </c>
      <c r="C84" s="6">
        <v>100</v>
      </c>
      <c r="D84" s="6">
        <v>180</v>
      </c>
    </row>
    <row r="85" spans="1:4" x14ac:dyDescent="0.25">
      <c r="A85" t="s">
        <v>14</v>
      </c>
      <c r="B85" t="s">
        <v>91</v>
      </c>
      <c r="C85" s="6">
        <v>99.9</v>
      </c>
      <c r="D85" s="6">
        <v>152</v>
      </c>
    </row>
    <row r="86" spans="1:4" x14ac:dyDescent="0.25">
      <c r="A86" t="s">
        <v>20</v>
      </c>
      <c r="B86" t="s">
        <v>92</v>
      </c>
      <c r="C86" s="6">
        <v>99.75</v>
      </c>
      <c r="D86" s="6">
        <v>142.5</v>
      </c>
    </row>
    <row r="87" spans="1:4" x14ac:dyDescent="0.25">
      <c r="A87" t="s">
        <v>20</v>
      </c>
      <c r="B87" t="s">
        <v>93</v>
      </c>
      <c r="C87" s="6">
        <v>95</v>
      </c>
      <c r="D87" s="6">
        <v>120</v>
      </c>
    </row>
    <row r="88" spans="1:4" x14ac:dyDescent="0.25">
      <c r="A88" t="s">
        <v>20</v>
      </c>
      <c r="B88" t="s">
        <v>94</v>
      </c>
      <c r="C88" s="6">
        <v>95</v>
      </c>
      <c r="D88" s="6">
        <v>115</v>
      </c>
    </row>
    <row r="89" spans="1:4" x14ac:dyDescent="0.25">
      <c r="A89" t="s">
        <v>52</v>
      </c>
      <c r="B89" t="s">
        <v>95</v>
      </c>
      <c r="C89" s="6">
        <v>95</v>
      </c>
      <c r="D89" s="6">
        <v>115</v>
      </c>
    </row>
    <row r="90" spans="1:4" x14ac:dyDescent="0.25">
      <c r="A90" t="s">
        <v>20</v>
      </c>
      <c r="B90" t="s">
        <v>96</v>
      </c>
      <c r="C90" s="6">
        <v>94.5</v>
      </c>
      <c r="D90" s="6">
        <v>135</v>
      </c>
    </row>
    <row r="91" spans="1:4" x14ac:dyDescent="0.25">
      <c r="A91" t="s">
        <v>52</v>
      </c>
      <c r="B91" t="s">
        <v>97</v>
      </c>
      <c r="C91" s="6">
        <v>94.5</v>
      </c>
      <c r="D91" s="6">
        <v>135</v>
      </c>
    </row>
    <row r="92" spans="1:4" x14ac:dyDescent="0.25">
      <c r="A92" t="s">
        <v>16</v>
      </c>
      <c r="B92" t="s">
        <v>98</v>
      </c>
      <c r="C92" s="6">
        <v>93</v>
      </c>
      <c r="D92" s="6">
        <v>125</v>
      </c>
    </row>
    <row r="93" spans="1:4" x14ac:dyDescent="0.25">
      <c r="A93" t="s">
        <v>20</v>
      </c>
      <c r="B93" t="s">
        <v>99</v>
      </c>
      <c r="C93" s="6">
        <v>91</v>
      </c>
      <c r="D93" s="6">
        <v>130</v>
      </c>
    </row>
    <row r="94" spans="1:4" x14ac:dyDescent="0.25">
      <c r="A94" t="s">
        <v>16</v>
      </c>
      <c r="B94" t="s">
        <v>100</v>
      </c>
      <c r="C94" s="6">
        <v>90</v>
      </c>
      <c r="D94" s="6">
        <v>130</v>
      </c>
    </row>
    <row r="95" spans="1:4" x14ac:dyDescent="0.25">
      <c r="A95" t="s">
        <v>16</v>
      </c>
      <c r="B95" t="s">
        <v>101</v>
      </c>
      <c r="C95" s="6">
        <v>90</v>
      </c>
      <c r="D95" s="6">
        <v>135</v>
      </c>
    </row>
    <row r="96" spans="1:4" x14ac:dyDescent="0.25">
      <c r="A96" t="s">
        <v>14</v>
      </c>
      <c r="B96" t="s">
        <v>102</v>
      </c>
      <c r="C96" s="6">
        <v>90</v>
      </c>
      <c r="D96" s="6">
        <v>130</v>
      </c>
    </row>
    <row r="97" spans="1:4" x14ac:dyDescent="0.25">
      <c r="A97" t="s">
        <v>14</v>
      </c>
      <c r="B97" t="s">
        <v>103</v>
      </c>
      <c r="C97" s="6">
        <v>90</v>
      </c>
      <c r="D97" s="6">
        <v>150</v>
      </c>
    </row>
    <row r="98" spans="1:4" x14ac:dyDescent="0.25">
      <c r="A98" t="s">
        <v>14</v>
      </c>
      <c r="B98" t="s">
        <v>104</v>
      </c>
      <c r="C98" s="6">
        <v>90</v>
      </c>
      <c r="D98" s="6">
        <v>225</v>
      </c>
    </row>
    <row r="99" spans="1:4" x14ac:dyDescent="0.25">
      <c r="A99" t="s">
        <v>52</v>
      </c>
      <c r="B99" t="s">
        <v>105</v>
      </c>
      <c r="C99" s="6">
        <v>89.65</v>
      </c>
      <c r="D99" s="6">
        <v>165</v>
      </c>
    </row>
    <row r="100" spans="1:4" x14ac:dyDescent="0.25">
      <c r="A100" t="s">
        <v>14</v>
      </c>
      <c r="B100" t="s">
        <v>106</v>
      </c>
      <c r="C100" s="6">
        <v>82.25</v>
      </c>
      <c r="D100" s="6">
        <v>197.5</v>
      </c>
    </row>
    <row r="101" spans="1:4" x14ac:dyDescent="0.25">
      <c r="A101" t="s">
        <v>16</v>
      </c>
      <c r="B101" t="s">
        <v>107</v>
      </c>
      <c r="C101" s="6">
        <v>82</v>
      </c>
      <c r="D101" s="6">
        <v>120</v>
      </c>
    </row>
    <row r="102" spans="1:4" x14ac:dyDescent="0.25">
      <c r="A102" t="s">
        <v>20</v>
      </c>
      <c r="B102" t="s">
        <v>108</v>
      </c>
      <c r="C102" s="6">
        <v>80.400000000000006</v>
      </c>
      <c r="D102" s="6">
        <v>122</v>
      </c>
    </row>
    <row r="103" spans="1:4" x14ac:dyDescent="0.25">
      <c r="A103" t="s">
        <v>20</v>
      </c>
      <c r="B103" t="s">
        <v>109</v>
      </c>
      <c r="C103" s="6">
        <v>80</v>
      </c>
      <c r="D103" s="6">
        <v>120</v>
      </c>
    </row>
    <row r="104" spans="1:4" x14ac:dyDescent="0.25">
      <c r="A104" t="s">
        <v>20</v>
      </c>
      <c r="B104" t="s">
        <v>110</v>
      </c>
      <c r="C104" s="6">
        <v>79.599999999999994</v>
      </c>
      <c r="D104" s="6">
        <v>110</v>
      </c>
    </row>
    <row r="105" spans="1:4" x14ac:dyDescent="0.25">
      <c r="A105" t="s">
        <v>18</v>
      </c>
      <c r="B105" t="s">
        <v>111</v>
      </c>
      <c r="C105" s="6">
        <v>77.5</v>
      </c>
      <c r="D105" s="6">
        <v>100</v>
      </c>
    </row>
    <row r="106" spans="1:4" x14ac:dyDescent="0.25">
      <c r="A106" t="s">
        <v>52</v>
      </c>
      <c r="B106" t="s">
        <v>112</v>
      </c>
      <c r="C106" s="6">
        <v>77</v>
      </c>
      <c r="D106" s="6">
        <v>77</v>
      </c>
    </row>
    <row r="107" spans="1:4" x14ac:dyDescent="0.25">
      <c r="A107" t="s">
        <v>52</v>
      </c>
      <c r="B107" t="s">
        <v>113</v>
      </c>
      <c r="C107" s="6">
        <v>77</v>
      </c>
      <c r="D107" s="6">
        <v>102</v>
      </c>
    </row>
    <row r="108" spans="1:4" x14ac:dyDescent="0.25">
      <c r="A108" t="s">
        <v>20</v>
      </c>
      <c r="B108" t="s">
        <v>114</v>
      </c>
      <c r="C108" s="6">
        <v>76.3</v>
      </c>
      <c r="D108" s="6">
        <v>109</v>
      </c>
    </row>
    <row r="109" spans="1:4" x14ac:dyDescent="0.25">
      <c r="A109" t="s">
        <v>20</v>
      </c>
      <c r="B109" t="s">
        <v>115</v>
      </c>
      <c r="C109" s="6">
        <v>75.7</v>
      </c>
      <c r="D109" s="6">
        <v>91</v>
      </c>
    </row>
    <row r="110" spans="1:4" x14ac:dyDescent="0.25">
      <c r="A110" t="s">
        <v>20</v>
      </c>
      <c r="B110" t="s">
        <v>116</v>
      </c>
      <c r="C110" s="6">
        <v>75.2</v>
      </c>
      <c r="D110" s="6">
        <v>102</v>
      </c>
    </row>
    <row r="111" spans="1:4" x14ac:dyDescent="0.25">
      <c r="A111" t="s">
        <v>20</v>
      </c>
      <c r="B111" t="s">
        <v>117</v>
      </c>
      <c r="C111" s="6">
        <v>75</v>
      </c>
      <c r="D111" s="6">
        <v>75</v>
      </c>
    </row>
    <row r="112" spans="1:4" x14ac:dyDescent="0.25">
      <c r="A112" t="s">
        <v>16</v>
      </c>
      <c r="B112" t="s">
        <v>118</v>
      </c>
      <c r="C112" s="6">
        <v>75</v>
      </c>
      <c r="D112" s="6">
        <v>110</v>
      </c>
    </row>
    <row r="113" spans="1:4" x14ac:dyDescent="0.25">
      <c r="A113" t="s">
        <v>14</v>
      </c>
      <c r="B113" t="s">
        <v>119</v>
      </c>
      <c r="C113" s="6">
        <v>74.75</v>
      </c>
      <c r="D113" s="6">
        <v>95</v>
      </c>
    </row>
    <row r="114" spans="1:4" x14ac:dyDescent="0.25">
      <c r="A114" t="s">
        <v>52</v>
      </c>
      <c r="B114" t="s">
        <v>120</v>
      </c>
      <c r="C114" s="6">
        <v>72.7</v>
      </c>
      <c r="D114" s="6">
        <v>94</v>
      </c>
    </row>
    <row r="115" spans="1:4" x14ac:dyDescent="0.25">
      <c r="A115" t="s">
        <v>16</v>
      </c>
      <c r="B115" t="s">
        <v>121</v>
      </c>
      <c r="C115" s="6">
        <v>72</v>
      </c>
      <c r="D115" s="6">
        <v>120</v>
      </c>
    </row>
    <row r="116" spans="1:4" x14ac:dyDescent="0.25">
      <c r="A116" t="s">
        <v>16</v>
      </c>
      <c r="B116" t="s">
        <v>122</v>
      </c>
      <c r="C116" s="6">
        <v>72</v>
      </c>
      <c r="D116" s="6">
        <v>90</v>
      </c>
    </row>
    <row r="117" spans="1:4" x14ac:dyDescent="0.25">
      <c r="A117" t="s">
        <v>16</v>
      </c>
      <c r="B117" t="s">
        <v>123</v>
      </c>
      <c r="C117" s="6">
        <v>71.400000000000006</v>
      </c>
      <c r="D117" s="6">
        <v>102</v>
      </c>
    </row>
    <row r="118" spans="1:4" x14ac:dyDescent="0.25">
      <c r="A118" t="s">
        <v>16</v>
      </c>
      <c r="B118" t="s">
        <v>124</v>
      </c>
      <c r="C118" s="6">
        <v>70</v>
      </c>
      <c r="D118" s="6">
        <v>112</v>
      </c>
    </row>
    <row r="119" spans="1:4" x14ac:dyDescent="0.25">
      <c r="A119" t="s">
        <v>14</v>
      </c>
      <c r="B119" t="s">
        <v>125</v>
      </c>
      <c r="C119" s="6">
        <v>70</v>
      </c>
      <c r="D119" s="6">
        <v>75</v>
      </c>
    </row>
    <row r="120" spans="1:4" x14ac:dyDescent="0.25">
      <c r="A120" t="s">
        <v>14</v>
      </c>
      <c r="B120" t="s">
        <v>126</v>
      </c>
      <c r="C120" s="6">
        <v>69.8</v>
      </c>
      <c r="D120" s="6">
        <v>149</v>
      </c>
    </row>
    <row r="121" spans="1:4" x14ac:dyDescent="0.25">
      <c r="A121" t="s">
        <v>20</v>
      </c>
      <c r="B121" t="s">
        <v>127</v>
      </c>
      <c r="C121" s="6">
        <v>66.5</v>
      </c>
      <c r="D121" s="6">
        <v>95</v>
      </c>
    </row>
    <row r="122" spans="1:4" x14ac:dyDescent="0.25">
      <c r="A122" t="s">
        <v>16</v>
      </c>
      <c r="B122" t="s">
        <v>128</v>
      </c>
      <c r="C122" s="6">
        <v>66.5</v>
      </c>
      <c r="D122" s="6">
        <v>95</v>
      </c>
    </row>
    <row r="123" spans="1:4" x14ac:dyDescent="0.25">
      <c r="A123" t="s">
        <v>20</v>
      </c>
      <c r="B123" t="s">
        <v>129</v>
      </c>
      <c r="C123" s="6">
        <v>65</v>
      </c>
      <c r="D123" s="6">
        <v>90</v>
      </c>
    </row>
    <row r="124" spans="1:4" x14ac:dyDescent="0.25">
      <c r="A124" t="s">
        <v>16</v>
      </c>
      <c r="B124" t="s">
        <v>130</v>
      </c>
      <c r="C124" s="6">
        <v>65</v>
      </c>
      <c r="D124" s="6">
        <v>90</v>
      </c>
    </row>
    <row r="125" spans="1:4" x14ac:dyDescent="0.25">
      <c r="A125" t="s">
        <v>16</v>
      </c>
      <c r="B125" t="s">
        <v>131</v>
      </c>
      <c r="C125" s="6">
        <v>65</v>
      </c>
      <c r="D125" s="6">
        <v>90</v>
      </c>
    </row>
    <row r="126" spans="1:4" x14ac:dyDescent="0.25">
      <c r="A126" t="s">
        <v>20</v>
      </c>
      <c r="B126" t="s">
        <v>132</v>
      </c>
      <c r="C126" s="6">
        <v>64.75</v>
      </c>
      <c r="D126" s="6">
        <v>92.5</v>
      </c>
    </row>
    <row r="127" spans="1:4" x14ac:dyDescent="0.25">
      <c r="A127" t="s">
        <v>16</v>
      </c>
      <c r="B127" t="s">
        <v>133</v>
      </c>
      <c r="C127" s="6">
        <v>64.75</v>
      </c>
      <c r="D127" s="6">
        <v>92.5</v>
      </c>
    </row>
    <row r="128" spans="1:4" x14ac:dyDescent="0.25">
      <c r="A128" t="s">
        <v>52</v>
      </c>
      <c r="B128" t="s">
        <v>134</v>
      </c>
      <c r="C128" s="6">
        <v>64.75</v>
      </c>
      <c r="D128" s="6">
        <v>92.5</v>
      </c>
    </row>
    <row r="129" spans="1:4" x14ac:dyDescent="0.25">
      <c r="A129" t="s">
        <v>16</v>
      </c>
      <c r="B129" t="s">
        <v>135</v>
      </c>
      <c r="C129" s="6">
        <v>64.650000000000006</v>
      </c>
      <c r="D129" s="6">
        <v>99.5</v>
      </c>
    </row>
    <row r="130" spans="1:4" x14ac:dyDescent="0.25">
      <c r="A130" t="s">
        <v>20</v>
      </c>
      <c r="B130" t="s">
        <v>136</v>
      </c>
      <c r="C130" s="6">
        <v>63</v>
      </c>
      <c r="D130" s="6">
        <v>90</v>
      </c>
    </row>
    <row r="131" spans="1:4" x14ac:dyDescent="0.25">
      <c r="A131" t="s">
        <v>20</v>
      </c>
      <c r="B131" t="s">
        <v>137</v>
      </c>
      <c r="C131" s="6">
        <v>63</v>
      </c>
      <c r="D131" s="6">
        <v>90</v>
      </c>
    </row>
    <row r="132" spans="1:4" x14ac:dyDescent="0.25">
      <c r="A132" t="s">
        <v>20</v>
      </c>
      <c r="B132" t="s">
        <v>138</v>
      </c>
      <c r="C132" s="6">
        <v>63</v>
      </c>
      <c r="D132" s="6">
        <v>90</v>
      </c>
    </row>
    <row r="133" spans="1:4" x14ac:dyDescent="0.25">
      <c r="A133" t="s">
        <v>16</v>
      </c>
      <c r="B133" t="s">
        <v>139</v>
      </c>
      <c r="C133" s="6">
        <v>63</v>
      </c>
      <c r="D133" s="6">
        <v>90</v>
      </c>
    </row>
    <row r="134" spans="1:4" x14ac:dyDescent="0.25">
      <c r="A134" t="s">
        <v>16</v>
      </c>
      <c r="B134" t="s">
        <v>140</v>
      </c>
      <c r="C134" s="6">
        <v>63</v>
      </c>
      <c r="D134" s="6">
        <v>90</v>
      </c>
    </row>
    <row r="135" spans="1:4" x14ac:dyDescent="0.25">
      <c r="A135" t="s">
        <v>16</v>
      </c>
      <c r="B135" t="s">
        <v>141</v>
      </c>
      <c r="C135" s="6">
        <v>63</v>
      </c>
      <c r="D135" s="6">
        <v>90</v>
      </c>
    </row>
    <row r="136" spans="1:4" x14ac:dyDescent="0.25">
      <c r="A136" t="s">
        <v>14</v>
      </c>
      <c r="B136" t="s">
        <v>142</v>
      </c>
      <c r="C136" s="6">
        <v>63</v>
      </c>
      <c r="D136" s="6">
        <v>90</v>
      </c>
    </row>
    <row r="137" spans="1:4" x14ac:dyDescent="0.25">
      <c r="A137" t="s">
        <v>14</v>
      </c>
      <c r="B137" t="s">
        <v>143</v>
      </c>
      <c r="C137" s="6">
        <v>63</v>
      </c>
      <c r="D137" s="6">
        <v>90</v>
      </c>
    </row>
    <row r="138" spans="1:4" x14ac:dyDescent="0.25">
      <c r="A138" t="s">
        <v>52</v>
      </c>
      <c r="B138" t="s">
        <v>144</v>
      </c>
      <c r="C138" s="6">
        <v>63</v>
      </c>
      <c r="D138" s="6">
        <v>92.5</v>
      </c>
    </row>
    <row r="139" spans="1:4" x14ac:dyDescent="0.25">
      <c r="A139" t="s">
        <v>52</v>
      </c>
      <c r="B139" t="s">
        <v>145</v>
      </c>
      <c r="C139" s="6">
        <v>63</v>
      </c>
      <c r="D139" s="6">
        <v>90</v>
      </c>
    </row>
    <row r="140" spans="1:4" x14ac:dyDescent="0.25">
      <c r="A140" t="s">
        <v>14</v>
      </c>
      <c r="B140" t="s">
        <v>146</v>
      </c>
      <c r="C140" s="6">
        <v>62</v>
      </c>
      <c r="D140" s="6">
        <v>102</v>
      </c>
    </row>
    <row r="141" spans="1:4" x14ac:dyDescent="0.25">
      <c r="A141" t="s">
        <v>16</v>
      </c>
      <c r="B141" t="s">
        <v>147</v>
      </c>
      <c r="C141" s="6">
        <v>60</v>
      </c>
      <c r="D141" s="6">
        <v>87</v>
      </c>
    </row>
    <row r="142" spans="1:4" x14ac:dyDescent="0.25">
      <c r="A142" t="s">
        <v>20</v>
      </c>
      <c r="B142" t="s">
        <v>148</v>
      </c>
      <c r="C142" s="6">
        <v>59.9</v>
      </c>
      <c r="D142" s="6">
        <v>90</v>
      </c>
    </row>
    <row r="143" spans="1:4" x14ac:dyDescent="0.25">
      <c r="A143" t="s">
        <v>52</v>
      </c>
      <c r="B143" t="s">
        <v>149</v>
      </c>
      <c r="C143" s="6">
        <v>58.44</v>
      </c>
      <c r="D143" s="6">
        <v>69</v>
      </c>
    </row>
    <row r="144" spans="1:4" x14ac:dyDescent="0.25">
      <c r="A144" t="s">
        <v>14</v>
      </c>
      <c r="B144" t="s">
        <v>150</v>
      </c>
      <c r="C144" s="6">
        <v>58.15</v>
      </c>
      <c r="D144" s="6">
        <v>60</v>
      </c>
    </row>
    <row r="145" spans="1:4" x14ac:dyDescent="0.25">
      <c r="A145" t="s">
        <v>20</v>
      </c>
      <c r="B145" t="s">
        <v>151</v>
      </c>
      <c r="C145" s="6">
        <v>56.5</v>
      </c>
      <c r="D145" s="6">
        <v>90</v>
      </c>
    </row>
    <row r="146" spans="1:4" x14ac:dyDescent="0.25">
      <c r="A146" t="s">
        <v>14</v>
      </c>
      <c r="B146" t="s">
        <v>152</v>
      </c>
      <c r="C146" s="6">
        <v>56</v>
      </c>
      <c r="D146" s="6">
        <v>80</v>
      </c>
    </row>
    <row r="147" spans="1:4" x14ac:dyDescent="0.25">
      <c r="A147" t="s">
        <v>20</v>
      </c>
      <c r="B147" t="s">
        <v>153</v>
      </c>
      <c r="C147" s="6">
        <v>55.2</v>
      </c>
      <c r="D147" s="6">
        <v>86</v>
      </c>
    </row>
    <row r="148" spans="1:4" x14ac:dyDescent="0.25">
      <c r="A148" t="s">
        <v>16</v>
      </c>
      <c r="B148" t="s">
        <v>154</v>
      </c>
      <c r="C148" s="6">
        <v>55</v>
      </c>
      <c r="D148" s="6">
        <v>95</v>
      </c>
    </row>
    <row r="149" spans="1:4" x14ac:dyDescent="0.25">
      <c r="A149" t="s">
        <v>20</v>
      </c>
      <c r="B149" t="s">
        <v>155</v>
      </c>
      <c r="C149" s="6">
        <v>54.5</v>
      </c>
      <c r="D149" s="6">
        <v>85</v>
      </c>
    </row>
    <row r="150" spans="1:4" x14ac:dyDescent="0.25">
      <c r="A150" t="s">
        <v>16</v>
      </c>
      <c r="B150" t="s">
        <v>156</v>
      </c>
      <c r="C150" s="6">
        <v>54</v>
      </c>
      <c r="D150" s="6">
        <v>90</v>
      </c>
    </row>
    <row r="151" spans="1:4" x14ac:dyDescent="0.25">
      <c r="A151" t="s">
        <v>14</v>
      </c>
      <c r="B151" t="s">
        <v>157</v>
      </c>
      <c r="C151" s="6">
        <v>53.65</v>
      </c>
      <c r="D151" s="6">
        <v>144.5</v>
      </c>
    </row>
    <row r="152" spans="1:4" x14ac:dyDescent="0.25">
      <c r="A152" t="s">
        <v>20</v>
      </c>
      <c r="B152" t="s">
        <v>158</v>
      </c>
      <c r="C152" s="6">
        <v>52.5</v>
      </c>
      <c r="D152" s="6">
        <v>65</v>
      </c>
    </row>
    <row r="153" spans="1:4" x14ac:dyDescent="0.25">
      <c r="A153" t="s">
        <v>20</v>
      </c>
      <c r="B153" t="s">
        <v>159</v>
      </c>
      <c r="C153" s="6">
        <v>52.15</v>
      </c>
      <c r="D153" s="6">
        <v>74.5</v>
      </c>
    </row>
    <row r="154" spans="1:4" x14ac:dyDescent="0.25">
      <c r="A154" t="s">
        <v>16</v>
      </c>
      <c r="B154" t="s">
        <v>160</v>
      </c>
      <c r="C154" s="6">
        <v>51</v>
      </c>
      <c r="D154" s="6">
        <v>80</v>
      </c>
    </row>
    <row r="155" spans="1:4" x14ac:dyDescent="0.25">
      <c r="A155" t="s">
        <v>20</v>
      </c>
      <c r="B155" t="s">
        <v>161</v>
      </c>
      <c r="C155" s="6">
        <v>50</v>
      </c>
      <c r="D155" s="6">
        <v>90</v>
      </c>
    </row>
    <row r="156" spans="1:4" x14ac:dyDescent="0.25">
      <c r="A156" t="s">
        <v>20</v>
      </c>
      <c r="B156" t="s">
        <v>162</v>
      </c>
      <c r="C156" s="6">
        <v>50</v>
      </c>
      <c r="D156" s="6">
        <v>90</v>
      </c>
    </row>
    <row r="157" spans="1:4" x14ac:dyDescent="0.25">
      <c r="A157" t="s">
        <v>20</v>
      </c>
      <c r="B157" t="s">
        <v>163</v>
      </c>
      <c r="C157" s="6">
        <v>50</v>
      </c>
      <c r="D157" s="6">
        <v>65</v>
      </c>
    </row>
    <row r="158" spans="1:4" x14ac:dyDescent="0.25">
      <c r="A158" t="s">
        <v>20</v>
      </c>
      <c r="B158" t="s">
        <v>164</v>
      </c>
      <c r="C158" s="6">
        <v>50</v>
      </c>
      <c r="D158" s="6">
        <v>90</v>
      </c>
    </row>
    <row r="159" spans="1:4" x14ac:dyDescent="0.25">
      <c r="A159" t="s">
        <v>20</v>
      </c>
      <c r="B159" t="s">
        <v>165</v>
      </c>
      <c r="C159" s="6">
        <v>50</v>
      </c>
      <c r="D159" s="6">
        <v>65</v>
      </c>
    </row>
    <row r="160" spans="1:4" x14ac:dyDescent="0.25">
      <c r="A160" t="s">
        <v>16</v>
      </c>
      <c r="B160" t="s">
        <v>166</v>
      </c>
      <c r="C160" s="6">
        <v>50</v>
      </c>
      <c r="D160" s="6">
        <v>80</v>
      </c>
    </row>
    <row r="161" spans="1:4" x14ac:dyDescent="0.25">
      <c r="A161" t="s">
        <v>52</v>
      </c>
      <c r="B161" t="s">
        <v>167</v>
      </c>
      <c r="C161" s="6">
        <v>50</v>
      </c>
      <c r="D161" s="6">
        <v>55</v>
      </c>
    </row>
    <row r="162" spans="1:4" x14ac:dyDescent="0.25">
      <c r="A162" t="s">
        <v>20</v>
      </c>
      <c r="B162" t="s">
        <v>168</v>
      </c>
      <c r="C162" s="6">
        <v>49.5</v>
      </c>
      <c r="D162" s="6">
        <v>80</v>
      </c>
    </row>
    <row r="163" spans="1:4" x14ac:dyDescent="0.25">
      <c r="A163" t="s">
        <v>16</v>
      </c>
      <c r="B163" t="s">
        <v>169</v>
      </c>
      <c r="C163" s="6">
        <v>49</v>
      </c>
      <c r="D163" s="6">
        <v>70</v>
      </c>
    </row>
    <row r="164" spans="1:4" x14ac:dyDescent="0.25">
      <c r="A164" t="s">
        <v>14</v>
      </c>
      <c r="B164" t="s">
        <v>170</v>
      </c>
      <c r="C164" s="6">
        <v>49</v>
      </c>
      <c r="D164" s="6">
        <v>70</v>
      </c>
    </row>
    <row r="165" spans="1:4" x14ac:dyDescent="0.25">
      <c r="A165" t="s">
        <v>52</v>
      </c>
      <c r="B165" t="s">
        <v>171</v>
      </c>
      <c r="C165" s="6">
        <v>49</v>
      </c>
      <c r="D165" s="6">
        <v>70</v>
      </c>
    </row>
    <row r="166" spans="1:4" x14ac:dyDescent="0.25">
      <c r="A166" t="s">
        <v>20</v>
      </c>
      <c r="B166" t="s">
        <v>172</v>
      </c>
      <c r="C166" s="6">
        <v>48.3</v>
      </c>
      <c r="D166" s="6">
        <v>69</v>
      </c>
    </row>
    <row r="167" spans="1:4" x14ac:dyDescent="0.25">
      <c r="A167" t="s">
        <v>20</v>
      </c>
      <c r="B167" t="s">
        <v>173</v>
      </c>
      <c r="C167" s="6">
        <v>47</v>
      </c>
      <c r="D167" s="6">
        <v>72</v>
      </c>
    </row>
    <row r="168" spans="1:4" x14ac:dyDescent="0.25">
      <c r="A168" t="s">
        <v>20</v>
      </c>
      <c r="B168" t="s">
        <v>174</v>
      </c>
      <c r="C168" s="6">
        <v>45</v>
      </c>
      <c r="D168" s="6">
        <v>45</v>
      </c>
    </row>
    <row r="169" spans="1:4" x14ac:dyDescent="0.25">
      <c r="A169" t="s">
        <v>20</v>
      </c>
      <c r="B169" t="s">
        <v>175</v>
      </c>
      <c r="C169" s="6">
        <v>45</v>
      </c>
      <c r="D169" s="6">
        <v>45</v>
      </c>
    </row>
    <row r="170" spans="1:4" x14ac:dyDescent="0.25">
      <c r="A170" t="s">
        <v>16</v>
      </c>
      <c r="B170" t="s">
        <v>176</v>
      </c>
      <c r="C170" s="6">
        <v>42</v>
      </c>
      <c r="D170" s="6">
        <v>60</v>
      </c>
    </row>
    <row r="171" spans="1:4" x14ac:dyDescent="0.25">
      <c r="A171" t="s">
        <v>14</v>
      </c>
      <c r="B171" t="s">
        <v>177</v>
      </c>
      <c r="C171" s="6">
        <v>42</v>
      </c>
      <c r="D171" s="6">
        <v>60</v>
      </c>
    </row>
    <row r="172" spans="1:4" x14ac:dyDescent="0.25">
      <c r="A172" t="s">
        <v>20</v>
      </c>
      <c r="B172" t="s">
        <v>178</v>
      </c>
      <c r="C172" s="6">
        <v>40.5</v>
      </c>
      <c r="D172" s="6">
        <v>65</v>
      </c>
    </row>
    <row r="173" spans="1:4" x14ac:dyDescent="0.25">
      <c r="A173" t="s">
        <v>20</v>
      </c>
      <c r="B173" t="s">
        <v>179</v>
      </c>
      <c r="C173" s="6">
        <v>40</v>
      </c>
      <c r="D173" s="6">
        <v>40</v>
      </c>
    </row>
    <row r="174" spans="1:4" x14ac:dyDescent="0.25">
      <c r="A174" t="s">
        <v>16</v>
      </c>
      <c r="B174" t="s">
        <v>180</v>
      </c>
      <c r="C174" s="6">
        <v>40</v>
      </c>
      <c r="D174" s="6">
        <v>60</v>
      </c>
    </row>
    <row r="175" spans="1:4" x14ac:dyDescent="0.25">
      <c r="A175" t="s">
        <v>14</v>
      </c>
      <c r="B175" t="s">
        <v>181</v>
      </c>
      <c r="C175" s="6">
        <v>40</v>
      </c>
      <c r="D175" s="6">
        <v>60</v>
      </c>
    </row>
    <row r="176" spans="1:4" x14ac:dyDescent="0.25">
      <c r="A176" t="s">
        <v>14</v>
      </c>
      <c r="B176" t="s">
        <v>182</v>
      </c>
      <c r="C176" s="6">
        <v>39.9</v>
      </c>
      <c r="D176" s="6">
        <v>75</v>
      </c>
    </row>
    <row r="177" spans="1:4" x14ac:dyDescent="0.25">
      <c r="A177" t="s">
        <v>14</v>
      </c>
      <c r="B177" t="s">
        <v>183</v>
      </c>
      <c r="C177" s="6">
        <v>39.9</v>
      </c>
      <c r="D177" s="6">
        <v>57</v>
      </c>
    </row>
    <row r="178" spans="1:4" x14ac:dyDescent="0.25">
      <c r="A178" t="s">
        <v>20</v>
      </c>
      <c r="B178" t="s">
        <v>184</v>
      </c>
      <c r="C178" s="6">
        <v>38.25</v>
      </c>
      <c r="D178" s="6">
        <v>45</v>
      </c>
    </row>
    <row r="179" spans="1:4" x14ac:dyDescent="0.25">
      <c r="A179" t="s">
        <v>20</v>
      </c>
      <c r="B179" t="s">
        <v>185</v>
      </c>
      <c r="C179" s="6">
        <v>38.25</v>
      </c>
      <c r="D179" s="6">
        <v>45</v>
      </c>
    </row>
    <row r="180" spans="1:4" x14ac:dyDescent="0.25">
      <c r="A180" t="s">
        <v>16</v>
      </c>
      <c r="B180" t="s">
        <v>162</v>
      </c>
      <c r="C180" s="6">
        <v>38.25</v>
      </c>
      <c r="D180" s="6">
        <v>45</v>
      </c>
    </row>
    <row r="181" spans="1:4" x14ac:dyDescent="0.25">
      <c r="A181" t="s">
        <v>20</v>
      </c>
      <c r="B181" t="s">
        <v>186</v>
      </c>
      <c r="C181" s="6">
        <v>37.5</v>
      </c>
      <c r="D181" s="6">
        <v>45</v>
      </c>
    </row>
    <row r="182" spans="1:4" x14ac:dyDescent="0.25">
      <c r="A182" t="s">
        <v>52</v>
      </c>
      <c r="B182" t="s">
        <v>187</v>
      </c>
      <c r="C182" s="6">
        <v>37.5</v>
      </c>
      <c r="D182" s="6">
        <v>50</v>
      </c>
    </row>
    <row r="183" spans="1:4" x14ac:dyDescent="0.25">
      <c r="A183" t="s">
        <v>20</v>
      </c>
      <c r="B183" t="s">
        <v>188</v>
      </c>
      <c r="C183" s="6">
        <v>37.1</v>
      </c>
      <c r="D183" s="6">
        <v>45</v>
      </c>
    </row>
    <row r="184" spans="1:4" x14ac:dyDescent="0.25">
      <c r="A184" t="s">
        <v>20</v>
      </c>
      <c r="B184" t="s">
        <v>189</v>
      </c>
      <c r="C184" s="6">
        <v>36</v>
      </c>
      <c r="D184" s="6">
        <v>45</v>
      </c>
    </row>
    <row r="185" spans="1:4" x14ac:dyDescent="0.25">
      <c r="A185" t="s">
        <v>16</v>
      </c>
      <c r="B185" t="s">
        <v>190</v>
      </c>
      <c r="C185" s="6">
        <v>36</v>
      </c>
      <c r="D185" s="6">
        <v>60</v>
      </c>
    </row>
    <row r="186" spans="1:4" x14ac:dyDescent="0.25">
      <c r="A186" t="s">
        <v>16</v>
      </c>
      <c r="B186" t="s">
        <v>191</v>
      </c>
      <c r="C186" s="6">
        <v>36</v>
      </c>
      <c r="D186" s="6">
        <v>45</v>
      </c>
    </row>
    <row r="187" spans="1:4" x14ac:dyDescent="0.25">
      <c r="A187" t="s">
        <v>14</v>
      </c>
      <c r="B187" t="s">
        <v>192</v>
      </c>
      <c r="C187" s="6">
        <v>36</v>
      </c>
      <c r="D187" s="6">
        <v>45</v>
      </c>
    </row>
    <row r="188" spans="1:4" x14ac:dyDescent="0.25">
      <c r="A188" t="s">
        <v>52</v>
      </c>
      <c r="B188" t="s">
        <v>193</v>
      </c>
      <c r="C188" s="6">
        <v>36</v>
      </c>
      <c r="D188" s="6">
        <v>45</v>
      </c>
    </row>
    <row r="189" spans="1:4" x14ac:dyDescent="0.25">
      <c r="A189" t="s">
        <v>20</v>
      </c>
      <c r="B189" t="s">
        <v>194</v>
      </c>
      <c r="C189" s="6">
        <v>35</v>
      </c>
      <c r="D189" s="6">
        <v>60</v>
      </c>
    </row>
    <row r="190" spans="1:4" x14ac:dyDescent="0.25">
      <c r="A190" t="s">
        <v>20</v>
      </c>
      <c r="B190" t="s">
        <v>195</v>
      </c>
      <c r="C190" s="6">
        <v>35</v>
      </c>
      <c r="D190" s="6">
        <v>35</v>
      </c>
    </row>
    <row r="191" spans="1:4" x14ac:dyDescent="0.25">
      <c r="A191" t="s">
        <v>20</v>
      </c>
      <c r="B191" t="s">
        <v>196</v>
      </c>
      <c r="C191" s="6">
        <v>35</v>
      </c>
      <c r="D191" s="6">
        <v>35</v>
      </c>
    </row>
    <row r="192" spans="1:4" x14ac:dyDescent="0.25">
      <c r="A192" t="s">
        <v>16</v>
      </c>
      <c r="B192" t="s">
        <v>197</v>
      </c>
      <c r="C192" s="6">
        <v>35</v>
      </c>
      <c r="D192" s="6">
        <v>50</v>
      </c>
    </row>
    <row r="193" spans="1:4" x14ac:dyDescent="0.25">
      <c r="A193" t="s">
        <v>14</v>
      </c>
      <c r="B193" t="s">
        <v>198</v>
      </c>
      <c r="C193" s="6">
        <v>35</v>
      </c>
      <c r="D193" s="6">
        <v>50</v>
      </c>
    </row>
    <row r="194" spans="1:4" x14ac:dyDescent="0.25">
      <c r="A194" t="s">
        <v>52</v>
      </c>
      <c r="B194" t="s">
        <v>199</v>
      </c>
      <c r="C194" s="6">
        <v>35</v>
      </c>
      <c r="D194" s="6">
        <v>60</v>
      </c>
    </row>
    <row r="195" spans="1:4" x14ac:dyDescent="0.25">
      <c r="A195" t="s">
        <v>14</v>
      </c>
      <c r="B195" t="s">
        <v>200</v>
      </c>
      <c r="C195" s="6">
        <v>34.65</v>
      </c>
      <c r="D195" s="6">
        <v>49.5</v>
      </c>
    </row>
    <row r="196" spans="1:4" x14ac:dyDescent="0.25">
      <c r="A196" t="s">
        <v>52</v>
      </c>
      <c r="B196" t="s">
        <v>201</v>
      </c>
      <c r="C196" s="6">
        <v>34.299999999999997</v>
      </c>
      <c r="D196" s="6">
        <v>49</v>
      </c>
    </row>
    <row r="197" spans="1:4" x14ac:dyDescent="0.25">
      <c r="A197" t="s">
        <v>20</v>
      </c>
      <c r="B197" t="s">
        <v>202</v>
      </c>
      <c r="C197" s="6">
        <v>31.5</v>
      </c>
      <c r="D197" s="6">
        <v>45</v>
      </c>
    </row>
    <row r="198" spans="1:4" x14ac:dyDescent="0.25">
      <c r="A198" t="s">
        <v>20</v>
      </c>
      <c r="B198" t="s">
        <v>203</v>
      </c>
      <c r="C198" s="6">
        <v>31.5</v>
      </c>
      <c r="D198" s="6">
        <v>45</v>
      </c>
    </row>
    <row r="199" spans="1:4" x14ac:dyDescent="0.25">
      <c r="A199" t="s">
        <v>20</v>
      </c>
      <c r="B199" t="s">
        <v>204</v>
      </c>
      <c r="C199" s="6">
        <v>31.5</v>
      </c>
      <c r="D199" s="6">
        <v>45</v>
      </c>
    </row>
    <row r="200" spans="1:4" x14ac:dyDescent="0.25">
      <c r="A200" t="s">
        <v>14</v>
      </c>
      <c r="B200" t="s">
        <v>205</v>
      </c>
      <c r="C200" s="6">
        <v>31.5</v>
      </c>
      <c r="D200" s="6">
        <v>45</v>
      </c>
    </row>
    <row r="201" spans="1:4" x14ac:dyDescent="0.25">
      <c r="A201" t="s">
        <v>14</v>
      </c>
      <c r="B201" t="s">
        <v>206</v>
      </c>
      <c r="C201" s="6">
        <v>31.5</v>
      </c>
      <c r="D201" s="6">
        <v>45</v>
      </c>
    </row>
    <row r="202" spans="1:4" x14ac:dyDescent="0.25">
      <c r="A202" t="s">
        <v>14</v>
      </c>
      <c r="B202" t="s">
        <v>207</v>
      </c>
      <c r="C202" s="6">
        <v>31.5</v>
      </c>
      <c r="D202" s="6">
        <v>45</v>
      </c>
    </row>
    <row r="203" spans="1:4" x14ac:dyDescent="0.25">
      <c r="A203" t="s">
        <v>52</v>
      </c>
      <c r="B203" t="s">
        <v>208</v>
      </c>
      <c r="C203" s="6">
        <v>31.5</v>
      </c>
      <c r="D203" s="6">
        <v>45</v>
      </c>
    </row>
    <row r="204" spans="1:4" x14ac:dyDescent="0.25">
      <c r="A204" t="s">
        <v>52</v>
      </c>
      <c r="B204" t="s">
        <v>209</v>
      </c>
      <c r="C204" s="6">
        <v>31.5</v>
      </c>
      <c r="D204" s="6">
        <v>45</v>
      </c>
    </row>
    <row r="205" spans="1:4" x14ac:dyDescent="0.25">
      <c r="A205" t="s">
        <v>16</v>
      </c>
      <c r="B205" t="s">
        <v>210</v>
      </c>
      <c r="C205" s="6">
        <v>30.8</v>
      </c>
      <c r="D205" s="6">
        <v>44</v>
      </c>
    </row>
    <row r="206" spans="1:4" x14ac:dyDescent="0.25">
      <c r="A206" t="s">
        <v>20</v>
      </c>
      <c r="B206" t="s">
        <v>211</v>
      </c>
      <c r="C206" s="6">
        <v>30</v>
      </c>
      <c r="D206" s="6">
        <v>50</v>
      </c>
    </row>
    <row r="207" spans="1:4" x14ac:dyDescent="0.25">
      <c r="A207" t="s">
        <v>20</v>
      </c>
      <c r="B207" t="s">
        <v>212</v>
      </c>
      <c r="C207" s="6">
        <v>30</v>
      </c>
      <c r="D207" s="6">
        <v>50</v>
      </c>
    </row>
    <row r="208" spans="1:4" x14ac:dyDescent="0.25">
      <c r="A208" t="s">
        <v>20</v>
      </c>
      <c r="B208" t="s">
        <v>213</v>
      </c>
      <c r="C208" s="6">
        <v>30</v>
      </c>
      <c r="D208" s="6">
        <v>50</v>
      </c>
    </row>
    <row r="209" spans="1:4" x14ac:dyDescent="0.25">
      <c r="A209" t="s">
        <v>20</v>
      </c>
      <c r="B209" t="s">
        <v>214</v>
      </c>
      <c r="C209" s="6">
        <v>30</v>
      </c>
      <c r="D209" s="6">
        <v>50</v>
      </c>
    </row>
    <row r="210" spans="1:4" x14ac:dyDescent="0.25">
      <c r="A210" t="s">
        <v>16</v>
      </c>
      <c r="B210" t="s">
        <v>215</v>
      </c>
      <c r="C210" s="6">
        <v>30</v>
      </c>
      <c r="D210" s="6">
        <v>50</v>
      </c>
    </row>
    <row r="211" spans="1:4" x14ac:dyDescent="0.25">
      <c r="A211" t="s">
        <v>14</v>
      </c>
      <c r="B211" t="s">
        <v>216</v>
      </c>
      <c r="C211" s="6">
        <v>30</v>
      </c>
      <c r="D211" s="6">
        <v>50</v>
      </c>
    </row>
    <row r="212" spans="1:4" x14ac:dyDescent="0.25">
      <c r="A212" t="s">
        <v>14</v>
      </c>
      <c r="B212" t="s">
        <v>217</v>
      </c>
      <c r="C212" s="6">
        <v>30</v>
      </c>
      <c r="D212" s="6">
        <v>50</v>
      </c>
    </row>
    <row r="213" spans="1:4" x14ac:dyDescent="0.25">
      <c r="A213" t="s">
        <v>14</v>
      </c>
      <c r="B213" t="s">
        <v>218</v>
      </c>
      <c r="C213" s="6">
        <v>29.75</v>
      </c>
      <c r="D213" s="6">
        <v>35</v>
      </c>
    </row>
    <row r="214" spans="1:4" x14ac:dyDescent="0.25">
      <c r="A214" t="s">
        <v>16</v>
      </c>
      <c r="B214" t="s">
        <v>219</v>
      </c>
      <c r="C214" s="6">
        <v>28</v>
      </c>
      <c r="D214" s="6">
        <v>40</v>
      </c>
    </row>
    <row r="215" spans="1:4" x14ac:dyDescent="0.25">
      <c r="A215" t="s">
        <v>16</v>
      </c>
      <c r="B215" t="s">
        <v>220</v>
      </c>
      <c r="C215" s="6">
        <v>26.25</v>
      </c>
      <c r="D215" s="6">
        <v>37.5</v>
      </c>
    </row>
    <row r="216" spans="1:4" x14ac:dyDescent="0.25">
      <c r="A216" t="s">
        <v>20</v>
      </c>
      <c r="B216" t="s">
        <v>221</v>
      </c>
      <c r="C216" s="6">
        <v>25.9</v>
      </c>
      <c r="D216" s="6">
        <v>37</v>
      </c>
    </row>
    <row r="217" spans="1:4" x14ac:dyDescent="0.25">
      <c r="A217" t="s">
        <v>20</v>
      </c>
      <c r="B217" t="s">
        <v>222</v>
      </c>
      <c r="C217" s="6">
        <v>25.9</v>
      </c>
      <c r="D217" s="6">
        <v>37</v>
      </c>
    </row>
    <row r="218" spans="1:4" x14ac:dyDescent="0.25">
      <c r="A218" t="s">
        <v>20</v>
      </c>
      <c r="B218" t="s">
        <v>223</v>
      </c>
      <c r="C218" s="6">
        <v>25.55</v>
      </c>
      <c r="D218" s="6">
        <v>36.5</v>
      </c>
    </row>
    <row r="219" spans="1:4" x14ac:dyDescent="0.25">
      <c r="A219" t="s">
        <v>20</v>
      </c>
      <c r="B219" t="s">
        <v>224</v>
      </c>
      <c r="C219" s="6">
        <v>25</v>
      </c>
      <c r="D219" s="6">
        <v>45</v>
      </c>
    </row>
    <row r="220" spans="1:4" x14ac:dyDescent="0.25">
      <c r="A220" t="s">
        <v>20</v>
      </c>
      <c r="B220" t="s">
        <v>225</v>
      </c>
      <c r="C220" s="6">
        <v>25</v>
      </c>
      <c r="D220" s="6">
        <v>45</v>
      </c>
    </row>
    <row r="221" spans="1:4" x14ac:dyDescent="0.25">
      <c r="A221" t="s">
        <v>20</v>
      </c>
      <c r="B221" t="s">
        <v>226</v>
      </c>
      <c r="C221" s="6">
        <v>25</v>
      </c>
      <c r="D221" s="6">
        <v>35</v>
      </c>
    </row>
    <row r="222" spans="1:4" x14ac:dyDescent="0.25">
      <c r="A222" t="s">
        <v>20</v>
      </c>
      <c r="B222" t="s">
        <v>227</v>
      </c>
      <c r="C222" s="6">
        <v>25</v>
      </c>
      <c r="D222" s="6">
        <v>45</v>
      </c>
    </row>
    <row r="223" spans="1:4" x14ac:dyDescent="0.25">
      <c r="A223" t="s">
        <v>16</v>
      </c>
      <c r="B223" t="s">
        <v>228</v>
      </c>
      <c r="C223" s="6">
        <v>25</v>
      </c>
      <c r="D223" s="6">
        <v>35</v>
      </c>
    </row>
    <row r="224" spans="1:4" x14ac:dyDescent="0.25">
      <c r="A224" t="s">
        <v>16</v>
      </c>
      <c r="B224" t="s">
        <v>229</v>
      </c>
      <c r="C224" s="6">
        <v>25</v>
      </c>
      <c r="D224" s="6">
        <v>45</v>
      </c>
    </row>
    <row r="225" spans="1:4" x14ac:dyDescent="0.25">
      <c r="A225" t="s">
        <v>16</v>
      </c>
      <c r="B225" t="s">
        <v>230</v>
      </c>
      <c r="C225" s="6">
        <v>25</v>
      </c>
      <c r="D225" s="6">
        <v>36</v>
      </c>
    </row>
    <row r="226" spans="1:4" x14ac:dyDescent="0.25">
      <c r="A226" t="s">
        <v>16</v>
      </c>
      <c r="B226" t="s">
        <v>231</v>
      </c>
      <c r="C226" s="6">
        <v>25</v>
      </c>
      <c r="D226" s="6">
        <v>35</v>
      </c>
    </row>
    <row r="227" spans="1:4" x14ac:dyDescent="0.25">
      <c r="A227" t="s">
        <v>14</v>
      </c>
      <c r="B227" t="s">
        <v>232</v>
      </c>
      <c r="C227" s="6">
        <v>25</v>
      </c>
      <c r="D227" s="6">
        <v>45</v>
      </c>
    </row>
    <row r="228" spans="1:4" x14ac:dyDescent="0.25">
      <c r="A228" t="s">
        <v>14</v>
      </c>
      <c r="B228" t="s">
        <v>233</v>
      </c>
      <c r="C228" s="6">
        <v>25</v>
      </c>
      <c r="D228" s="6">
        <v>35</v>
      </c>
    </row>
    <row r="229" spans="1:4" x14ac:dyDescent="0.25">
      <c r="A229" t="s">
        <v>20</v>
      </c>
      <c r="B229" t="s">
        <v>234</v>
      </c>
      <c r="C229" s="6">
        <v>24.5</v>
      </c>
      <c r="D229" s="6">
        <v>35</v>
      </c>
    </row>
    <row r="230" spans="1:4" x14ac:dyDescent="0.25">
      <c r="A230" t="s">
        <v>16</v>
      </c>
      <c r="B230" t="s">
        <v>235</v>
      </c>
      <c r="C230" s="6">
        <v>24.5</v>
      </c>
      <c r="D230" s="6">
        <v>35</v>
      </c>
    </row>
    <row r="231" spans="1:4" x14ac:dyDescent="0.25">
      <c r="A231" t="s">
        <v>52</v>
      </c>
      <c r="B231" t="s">
        <v>236</v>
      </c>
      <c r="C231" s="6">
        <v>21.25</v>
      </c>
      <c r="D231" s="6">
        <v>25</v>
      </c>
    </row>
    <row r="232" spans="1:4" x14ac:dyDescent="0.25">
      <c r="A232" t="s">
        <v>52</v>
      </c>
      <c r="B232" t="s">
        <v>237</v>
      </c>
      <c r="C232" s="6">
        <v>21</v>
      </c>
      <c r="D232" s="6">
        <v>30</v>
      </c>
    </row>
    <row r="233" spans="1:4" x14ac:dyDescent="0.25">
      <c r="A233" t="s">
        <v>16</v>
      </c>
      <c r="B233" t="s">
        <v>238</v>
      </c>
      <c r="C233" s="6">
        <v>20</v>
      </c>
      <c r="D233" s="6">
        <v>40</v>
      </c>
    </row>
    <row r="234" spans="1:4" x14ac:dyDescent="0.25">
      <c r="A234" t="s">
        <v>14</v>
      </c>
      <c r="B234" t="s">
        <v>239</v>
      </c>
      <c r="C234" s="6">
        <v>19.350000000000001</v>
      </c>
      <c r="D234" s="6">
        <v>45</v>
      </c>
    </row>
    <row r="235" spans="1:4" x14ac:dyDescent="0.25">
      <c r="A235" t="s">
        <v>52</v>
      </c>
      <c r="B235" t="s">
        <v>240</v>
      </c>
      <c r="C235" s="6">
        <v>17.5</v>
      </c>
      <c r="D235" s="6">
        <v>25</v>
      </c>
    </row>
    <row r="236" spans="1:4" x14ac:dyDescent="0.25">
      <c r="A236" t="s">
        <v>14</v>
      </c>
      <c r="B236" t="s">
        <v>241</v>
      </c>
      <c r="C236" s="6">
        <v>9.6</v>
      </c>
      <c r="D236" s="6">
        <v>12</v>
      </c>
    </row>
    <row r="237" spans="1:4" x14ac:dyDescent="0.25">
      <c r="A237" t="s">
        <v>20</v>
      </c>
      <c r="B237" t="s">
        <v>242</v>
      </c>
      <c r="C237" s="6">
        <v>8.4</v>
      </c>
      <c r="D237" s="6">
        <v>12</v>
      </c>
    </row>
    <row r="238" spans="1:4" x14ac:dyDescent="0.25">
      <c r="A238" t="s">
        <v>52</v>
      </c>
      <c r="B238" t="s">
        <v>243</v>
      </c>
      <c r="C238" s="6">
        <v>8.4</v>
      </c>
      <c r="D238" s="6">
        <v>45</v>
      </c>
    </row>
    <row r="239" spans="1:4" x14ac:dyDescent="0.25">
      <c r="A239" t="s">
        <v>52</v>
      </c>
      <c r="B239" t="s">
        <v>244</v>
      </c>
      <c r="C239" s="6">
        <v>8.4</v>
      </c>
      <c r="D239" s="6">
        <v>12</v>
      </c>
    </row>
    <row r="240" spans="1:4" x14ac:dyDescent="0.25">
      <c r="A240" t="s">
        <v>20</v>
      </c>
      <c r="B240" t="s">
        <v>245</v>
      </c>
      <c r="C240" s="6">
        <v>0</v>
      </c>
      <c r="D240" s="6">
        <v>15</v>
      </c>
    </row>
    <row r="241" spans="1:4" x14ac:dyDescent="0.25">
      <c r="A241" t="s">
        <v>20</v>
      </c>
      <c r="B241" t="s">
        <v>246</v>
      </c>
      <c r="C241" s="6">
        <v>0</v>
      </c>
      <c r="D241" s="6">
        <v>12</v>
      </c>
    </row>
    <row r="242" spans="1:4" x14ac:dyDescent="0.25">
      <c r="A242" t="s">
        <v>16</v>
      </c>
      <c r="B242" t="s">
        <v>247</v>
      </c>
      <c r="C242" s="6">
        <v>0</v>
      </c>
      <c r="D242" s="6">
        <v>45</v>
      </c>
    </row>
    <row r="243" spans="1:4" x14ac:dyDescent="0.25">
      <c r="A243" t="s">
        <v>16</v>
      </c>
      <c r="B243" t="s">
        <v>248</v>
      </c>
      <c r="C243" s="6">
        <v>-31.5</v>
      </c>
      <c r="D24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Dennedy</dc:creator>
  <cp:lastModifiedBy>Jim Dennedy</cp:lastModifiedBy>
  <dcterms:created xsi:type="dcterms:W3CDTF">2026-07-20T13:02:45Z</dcterms:created>
  <dcterms:modified xsi:type="dcterms:W3CDTF">2026-07-20T13:03:07Z</dcterms:modified>
</cp:coreProperties>
</file>